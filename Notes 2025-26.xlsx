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nimaghanem/GG/St Jean 2025 - 26/"/>
    </mc:Choice>
  </mc:AlternateContent>
  <xr:revisionPtr revIDLastSave="0" documentId="13_ncr:1_{D804573C-B8B0-234A-BB61-7063FF43DEBC}" xr6:coauthVersionLast="47" xr6:coauthVersionMax="47" xr10:uidLastSave="{00000000-0000-0000-0000-000000000000}"/>
  <bookViews>
    <workbookView xWindow="0" yWindow="760" windowWidth="29400" windowHeight="17460" activeTab="1" xr2:uid="{61C1474D-13A6-114C-8138-CC0FF07C6D14}"/>
  </bookViews>
  <sheets>
    <sheet name="ECG2" sheetId="1" r:id="rId1"/>
    <sheet name="KE4" sheetId="2" r:id="rId2"/>
    <sheet name="Oraux cou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E38" i="2"/>
  <c r="D38" i="2"/>
  <c r="O42" i="1"/>
  <c r="N42" i="1"/>
  <c r="M42" i="1"/>
  <c r="L4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3" i="1"/>
  <c r="L38" i="2"/>
  <c r="M38" i="2"/>
  <c r="N38" i="2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2" i="2"/>
  <c r="O33" i="2"/>
  <c r="O34" i="2"/>
  <c r="O35" i="2"/>
  <c r="O36" i="2"/>
  <c r="O37" i="2"/>
  <c r="O2" i="2"/>
  <c r="F38" i="2"/>
  <c r="D42" i="1"/>
  <c r="E42" i="1"/>
  <c r="F42" i="1"/>
  <c r="J42" i="1"/>
  <c r="I42" i="1"/>
  <c r="H42" i="1"/>
  <c r="K4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9" i="1"/>
  <c r="K31" i="1"/>
  <c r="K32" i="1"/>
  <c r="K33" i="1"/>
  <c r="K34" i="1"/>
  <c r="K35" i="1"/>
  <c r="K36" i="1"/>
  <c r="K37" i="1"/>
  <c r="K38" i="1"/>
  <c r="K39" i="1"/>
  <c r="K40" i="1"/>
  <c r="K2" i="1"/>
  <c r="K30" i="2"/>
  <c r="J38" i="2"/>
  <c r="I38" i="2"/>
  <c r="H3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2" i="2"/>
  <c r="K38" i="2" s="1"/>
  <c r="G17" i="2"/>
  <c r="G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8" i="2"/>
  <c r="G19" i="2"/>
  <c r="G20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G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2" i="1"/>
  <c r="O38" i="2" l="1"/>
  <c r="G42" i="1"/>
  <c r="K42" i="1"/>
  <c r="G38" i="2"/>
</calcChain>
</file>

<file path=xl/sharedStrings.xml><?xml version="1.0" encoding="utf-8"?>
<sst xmlns="http://schemas.openxmlformats.org/spreadsheetml/2006/main" count="289" uniqueCount="159">
  <si>
    <t>SERGEANT</t>
  </si>
  <si>
    <t>SEGUI</t>
  </si>
  <si>
    <t>TALVARD</t>
  </si>
  <si>
    <t>HERBIN</t>
  </si>
  <si>
    <t>RIGOLOT</t>
  </si>
  <si>
    <t>BESNARD</t>
  </si>
  <si>
    <t>ERS</t>
  </si>
  <si>
    <t>LABERT</t>
  </si>
  <si>
    <t>JEAN</t>
  </si>
  <si>
    <t>GASTALDI</t>
  </si>
  <si>
    <t>RIONDEL</t>
  </si>
  <si>
    <t>DUSSART</t>
  </si>
  <si>
    <t>KORA</t>
  </si>
  <si>
    <t>DESERT</t>
  </si>
  <si>
    <t>MALGRAIN</t>
  </si>
  <si>
    <t>CHAMBONNIERE</t>
  </si>
  <si>
    <t>BAUME</t>
  </si>
  <si>
    <t>CHLOE</t>
  </si>
  <si>
    <t>BERGOT</t>
  </si>
  <si>
    <t>SOFIA</t>
  </si>
  <si>
    <t>BLANCKAERT</t>
  </si>
  <si>
    <t>MARIE PIA</t>
  </si>
  <si>
    <t>BONTOUX</t>
  </si>
  <si>
    <t>VICTOIRE</t>
  </si>
  <si>
    <t>BOUVET</t>
  </si>
  <si>
    <t>CHARLOTTE</t>
  </si>
  <si>
    <t>CAILLIEZ</t>
  </si>
  <si>
    <t>VIOLAINE</t>
  </si>
  <si>
    <t>CLABAUT</t>
  </si>
  <si>
    <t>ARTHUR</t>
  </si>
  <si>
    <t>COME</t>
  </si>
  <si>
    <t>PENELOPE</t>
  </si>
  <si>
    <t>DE LA TULLAYE</t>
  </si>
  <si>
    <t>ALIX</t>
  </si>
  <si>
    <t>DE LAMARZELLE</t>
  </si>
  <si>
    <t>FEODOR</t>
  </si>
  <si>
    <t>DE MISCAULT</t>
  </si>
  <si>
    <t>Diane</t>
  </si>
  <si>
    <t>DE MONES</t>
  </si>
  <si>
    <t>CAMILLE</t>
  </si>
  <si>
    <t>DECHELETTE</t>
  </si>
  <si>
    <t>JOSEPH</t>
  </si>
  <si>
    <t>DEVAUGES</t>
  </si>
  <si>
    <t>DIETSCH</t>
  </si>
  <si>
    <t>FABY</t>
  </si>
  <si>
    <t>ADRIEN</t>
  </si>
  <si>
    <t>FIEVEZ</t>
  </si>
  <si>
    <t>AUGUSTIN</t>
  </si>
  <si>
    <t>FONTAINE</t>
  </si>
  <si>
    <t>OLIVIA</t>
  </si>
  <si>
    <t>FRANCIN</t>
  </si>
  <si>
    <t>GASPARD</t>
  </si>
  <si>
    <t>FRANCOIS PIEROTTI</t>
  </si>
  <si>
    <t>BAPTISTE</t>
  </si>
  <si>
    <t>FROMONT</t>
  </si>
  <si>
    <t>ALEXIS</t>
  </si>
  <si>
    <t>GINESTET</t>
  </si>
  <si>
    <t>CONSTANTIN</t>
  </si>
  <si>
    <t>HENRION</t>
  </si>
  <si>
    <t>ANOUCK</t>
  </si>
  <si>
    <t>HENRY DE VILLENEUVE</t>
  </si>
  <si>
    <t>PAUL</t>
  </si>
  <si>
    <t>HOMERIN DELACOURT</t>
  </si>
  <si>
    <t>SACHA</t>
  </si>
  <si>
    <t>LE JEUNE</t>
  </si>
  <si>
    <t>MARIANNE</t>
  </si>
  <si>
    <t>LEMAIRE</t>
  </si>
  <si>
    <t>ANASTASIA</t>
  </si>
  <si>
    <t>LETARTRE</t>
  </si>
  <si>
    <t>MACHENAUD</t>
  </si>
  <si>
    <t>MARCEAU</t>
  </si>
  <si>
    <t>ACHILLE</t>
  </si>
  <si>
    <t>MATRULLO</t>
  </si>
  <si>
    <t>GIANNI</t>
  </si>
  <si>
    <t>MONNIER</t>
  </si>
  <si>
    <t>PERRIN</t>
  </si>
  <si>
    <t>JEANNE</t>
  </si>
  <si>
    <t>PIERGA</t>
  </si>
  <si>
    <t>AMBRE</t>
  </si>
  <si>
    <t>PROVAUX</t>
  </si>
  <si>
    <t>ROMAIN</t>
  </si>
  <si>
    <t>REGNIER</t>
  </si>
  <si>
    <t>LOUIS</t>
  </si>
  <si>
    <t>ROUSSEAUX</t>
  </si>
  <si>
    <t>BENJAMIN</t>
  </si>
  <si>
    <t>STOFFEL MUNCK</t>
  </si>
  <si>
    <t>GEORGES</t>
  </si>
  <si>
    <t>CLOVIS</t>
  </si>
  <si>
    <t>BOGHOSSIAN-PRUDENT</t>
  </si>
  <si>
    <t>SCARLETT</t>
  </si>
  <si>
    <t>BROCHE</t>
  </si>
  <si>
    <t>ALEXIA</t>
  </si>
  <si>
    <t>EDGAR</t>
  </si>
  <si>
    <t>CIRELLI</t>
  </si>
  <si>
    <t>ISAAC</t>
  </si>
  <si>
    <t>COHEN SOLAL</t>
  </si>
  <si>
    <t>JAZ</t>
  </si>
  <si>
    <t>COLLINET DE LA SALLE</t>
  </si>
  <si>
    <t>MARGAUX</t>
  </si>
  <si>
    <t>DE DEMANDOLX</t>
  </si>
  <si>
    <t>RAPHAELLE</t>
  </si>
  <si>
    <t>DE LA PORTE DU THEIL</t>
  </si>
  <si>
    <t>ALICE</t>
  </si>
  <si>
    <t>DE MONTLEBERT</t>
  </si>
  <si>
    <t>HELIE</t>
  </si>
  <si>
    <t>DOUTRIAUX</t>
  </si>
  <si>
    <t>PIA</t>
  </si>
  <si>
    <t>EROUT</t>
  </si>
  <si>
    <t>BERENICE</t>
  </si>
  <si>
    <t>FLESSELLES</t>
  </si>
  <si>
    <t>ARNAUD</t>
  </si>
  <si>
    <t>LORIS</t>
  </si>
  <si>
    <t>LUCAS</t>
  </si>
  <si>
    <t>CLEMENTINE</t>
  </si>
  <si>
    <t>LAMY</t>
  </si>
  <si>
    <t>GUILLAUME</t>
  </si>
  <si>
    <t>LATASTE</t>
  </si>
  <si>
    <t>LE CORRE</t>
  </si>
  <si>
    <t>ESTHER</t>
  </si>
  <si>
    <t>LEGRAIN</t>
  </si>
  <si>
    <t>AIMERY</t>
  </si>
  <si>
    <t>MACQUART DE TERLINE</t>
  </si>
  <si>
    <t>ASTRID</t>
  </si>
  <si>
    <t>GONZAGUE</t>
  </si>
  <si>
    <t>MOREAU</t>
  </si>
  <si>
    <t>ANTOINE</t>
  </si>
  <si>
    <t>CONSTANCE</t>
  </si>
  <si>
    <t>PARVATI</t>
  </si>
  <si>
    <t>HUGO</t>
  </si>
  <si>
    <t>ROUVROY</t>
  </si>
  <si>
    <t>DONATIENNE</t>
  </si>
  <si>
    <t>NICOLAS</t>
  </si>
  <si>
    <t>ARTHUS</t>
  </si>
  <si>
    <t>STASSINET</t>
  </si>
  <si>
    <t>LOUIS MARIE</t>
  </si>
  <si>
    <t>VIANNEY</t>
  </si>
  <si>
    <t>Essai</t>
  </si>
  <si>
    <t>VERDIER</t>
  </si>
  <si>
    <t>Louise</t>
  </si>
  <si>
    <t>Alexis</t>
  </si>
  <si>
    <t>Oraux</t>
  </si>
  <si>
    <t>X</t>
  </si>
  <si>
    <t>14 et 15/10</t>
  </si>
  <si>
    <t>GRIMAUD</t>
  </si>
  <si>
    <t>Thibault</t>
  </si>
  <si>
    <t>ABS</t>
  </si>
  <si>
    <t>Moyenne CB1</t>
  </si>
  <si>
    <t>Moyenne CB2</t>
  </si>
  <si>
    <t>Moyenne CB3</t>
  </si>
  <si>
    <t>CB1 Synthèse</t>
  </si>
  <si>
    <t>Traduction</t>
  </si>
  <si>
    <t>Moyennes</t>
  </si>
  <si>
    <t>CB1 Compréhension</t>
  </si>
  <si>
    <t>CB2 Compréhension</t>
  </si>
  <si>
    <t>CB3 Compréhension</t>
  </si>
  <si>
    <t>absent</t>
  </si>
  <si>
    <t>absente</t>
  </si>
  <si>
    <t>CB2 Synthèse</t>
  </si>
  <si>
    <t>CB3 Synthèse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</si>
</sst>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0" fontId="3" fillId="2" borderId="1" xfId="0" applyFont="1" applyFill="1" applyBorder="1"/>
    <xf numFmtId="0" fontId="3" fillId="2" borderId="3" xfId="0" applyFont="1" applyFill="1" applyBorder="1"/>
    <xf numFmtId="0" fontId="3" fillId="3" borderId="3" xfId="0" applyFont="1" applyFill="1" applyBorder="1"/>
    <xf numFmtId="0" fontId="1" fillId="3" borderId="1" xfId="0" applyFont="1" applyFill="1" applyBorder="1"/>
    <xf numFmtId="0" fontId="0" fillId="0" borderId="1" xfId="0" applyFill="1" applyBorder="1"/>
    <xf numFmtId="0" fontId="2" fillId="0" borderId="0" xfId="0" applyFont="1" applyFill="1" applyBorder="1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/>
    <xf numFmtId="0" fontId="0" fillId="0" borderId="4" xfId="0" applyFill="1" applyBorder="1"/>
    <xf numFmtId="2" fontId="0" fillId="0" borderId="1" xfId="0" applyNumberFormat="1" applyFill="1" applyBorder="1" applyAlignment="1">
      <alignment wrapText="1"/>
    </xf>
    <xf numFmtId="2" fontId="2" fillId="0" borderId="1" xfId="0" applyNumberFormat="1" applyFont="1" applyFill="1" applyBorder="1"/>
    <xf numFmtId="2" fontId="2" fillId="0" borderId="1" xfId="0" applyNumberFormat="1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0" fillId="0" borderId="2" xfId="0" applyFill="1" applyBorder="1"/>
    <xf numFmtId="2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wrapText="1"/>
    </xf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FF76-7C82-2043-8BEF-C1D4CF232484}">
  <dimension ref="A1:P42"/>
  <sheetViews>
    <sheetView workbookViewId="0">
      <selection activeCell="D25" sqref="D25"/>
    </sheetView>
  </sheetViews>
  <sheetFormatPr baseColWidth="10" defaultRowHeight="16" x14ac:dyDescent="0.2"/>
  <cols>
    <col min="1" max="1" width="10.83203125" style="10"/>
    <col min="2" max="2" width="31.1640625" style="10" customWidth="1"/>
    <col min="3" max="3" width="14.1640625" style="10" customWidth="1"/>
    <col min="4" max="4" width="17.33203125" style="10" customWidth="1"/>
    <col min="5" max="6" width="10.83203125" style="10"/>
    <col min="7" max="7" width="14" style="10" customWidth="1"/>
    <col min="8" max="8" width="14.5" style="10" customWidth="1"/>
    <col min="9" max="10" width="10.83203125" style="10"/>
    <col min="11" max="11" width="13.1640625" style="10" customWidth="1"/>
    <col min="12" max="12" width="15.83203125" style="10" customWidth="1"/>
    <col min="13" max="13" width="10.83203125" style="10"/>
    <col min="14" max="14" width="10.83203125" style="10" customWidth="1"/>
    <col min="15" max="15" width="14.33203125" style="10" customWidth="1"/>
    <col min="16" max="16384" width="10.83203125" style="10"/>
  </cols>
  <sheetData>
    <row r="1" spans="1:16" ht="51" x14ac:dyDescent="0.2">
      <c r="D1" s="17" t="s">
        <v>152</v>
      </c>
      <c r="E1" s="11" t="s">
        <v>136</v>
      </c>
      <c r="F1" s="11" t="s">
        <v>150</v>
      </c>
      <c r="G1" s="11" t="s">
        <v>146</v>
      </c>
      <c r="H1" s="17" t="s">
        <v>153</v>
      </c>
      <c r="I1" s="11" t="s">
        <v>136</v>
      </c>
      <c r="J1" s="11" t="s">
        <v>150</v>
      </c>
      <c r="K1" s="11" t="s">
        <v>147</v>
      </c>
      <c r="L1" s="18" t="s">
        <v>154</v>
      </c>
      <c r="M1" s="12" t="s">
        <v>136</v>
      </c>
      <c r="N1" s="12" t="s">
        <v>150</v>
      </c>
      <c r="O1" s="12" t="s">
        <v>148</v>
      </c>
    </row>
    <row r="2" spans="1:16" x14ac:dyDescent="0.2">
      <c r="A2" s="10">
        <f>ROW()-ROW($A$2)+1</f>
        <v>1</v>
      </c>
      <c r="B2" s="8" t="s">
        <v>16</v>
      </c>
      <c r="C2" s="8" t="s">
        <v>17</v>
      </c>
      <c r="D2" s="8">
        <v>5</v>
      </c>
      <c r="E2" s="8">
        <v>8</v>
      </c>
      <c r="F2" s="8">
        <v>6</v>
      </c>
      <c r="G2" s="8">
        <f>AVERAGE(D2*0.3+E2*0.5+F2*0.2)</f>
        <v>6.7</v>
      </c>
      <c r="H2" s="8">
        <v>7</v>
      </c>
      <c r="I2" s="8">
        <v>7</v>
      </c>
      <c r="J2" s="8">
        <v>14</v>
      </c>
      <c r="K2" s="13">
        <f>AVERAGE(H2*0.3+I2*0.5+J2*0.2)</f>
        <v>8.4</v>
      </c>
      <c r="L2" s="8"/>
      <c r="M2" s="8"/>
      <c r="N2" s="8"/>
      <c r="O2" s="8"/>
      <c r="P2" s="10" t="s">
        <v>145</v>
      </c>
    </row>
    <row r="3" spans="1:16" x14ac:dyDescent="0.2">
      <c r="A3" s="10">
        <f t="shared" ref="A3:A40" si="0">ROW()-ROW($A$2)+1</f>
        <v>2</v>
      </c>
      <c r="B3" s="8" t="s">
        <v>18</v>
      </c>
      <c r="C3" s="8" t="s">
        <v>19</v>
      </c>
      <c r="D3" s="8">
        <v>6</v>
      </c>
      <c r="E3" s="8">
        <v>8</v>
      </c>
      <c r="F3" s="8">
        <v>5</v>
      </c>
      <c r="G3" s="8">
        <f t="shared" ref="G3:G41" si="1">AVERAGE(D3*0.3+E3*0.5+F3*0.2)</f>
        <v>6.8</v>
      </c>
      <c r="H3" s="8">
        <v>1.5</v>
      </c>
      <c r="I3" s="8">
        <v>10</v>
      </c>
      <c r="J3" s="8">
        <v>6</v>
      </c>
      <c r="K3" s="13">
        <f t="shared" ref="K3:K41" si="2">AVERAGE(H3*0.3+I3*0.5+J3*0.2)</f>
        <v>6.65</v>
      </c>
      <c r="L3" s="8">
        <v>9.5</v>
      </c>
      <c r="M3" s="8">
        <v>6</v>
      </c>
      <c r="N3" s="8">
        <v>14</v>
      </c>
      <c r="O3" s="8">
        <f>AVERAGE(L3*0.3+M3*0.5+N3*0.2)</f>
        <v>8.65</v>
      </c>
    </row>
    <row r="4" spans="1:16" x14ac:dyDescent="0.2">
      <c r="A4" s="10">
        <f t="shared" si="0"/>
        <v>3</v>
      </c>
      <c r="B4" s="8" t="s">
        <v>20</v>
      </c>
      <c r="C4" s="8" t="s">
        <v>21</v>
      </c>
      <c r="D4" s="8">
        <v>6.5</v>
      </c>
      <c r="E4" s="8">
        <v>14</v>
      </c>
      <c r="F4" s="8">
        <v>6.5</v>
      </c>
      <c r="G4" s="8">
        <f t="shared" si="1"/>
        <v>10.25</v>
      </c>
      <c r="H4" s="8">
        <v>10.5</v>
      </c>
      <c r="I4" s="8">
        <v>8</v>
      </c>
      <c r="J4" s="8">
        <v>7</v>
      </c>
      <c r="K4" s="13">
        <f t="shared" si="2"/>
        <v>8.5500000000000007</v>
      </c>
      <c r="L4" s="8">
        <v>9.5</v>
      </c>
      <c r="M4" s="8">
        <v>9</v>
      </c>
      <c r="N4" s="8">
        <v>7</v>
      </c>
      <c r="O4" s="8">
        <f t="shared" ref="O4:O41" si="3">AVERAGE(L4*0.3+M4*0.5+N4*0.2)</f>
        <v>8.75</v>
      </c>
    </row>
    <row r="5" spans="1:16" x14ac:dyDescent="0.2">
      <c r="A5" s="10">
        <f t="shared" si="0"/>
        <v>4</v>
      </c>
      <c r="B5" s="8" t="s">
        <v>22</v>
      </c>
      <c r="C5" s="8" t="s">
        <v>23</v>
      </c>
      <c r="D5" s="8">
        <v>5</v>
      </c>
      <c r="E5" s="8">
        <v>9</v>
      </c>
      <c r="F5" s="8">
        <v>7</v>
      </c>
      <c r="G5" s="8">
        <f t="shared" si="1"/>
        <v>7.4</v>
      </c>
      <c r="H5" s="8">
        <v>5.5</v>
      </c>
      <c r="I5" s="8">
        <v>7</v>
      </c>
      <c r="J5" s="8">
        <v>6.5</v>
      </c>
      <c r="K5" s="13">
        <f t="shared" si="2"/>
        <v>6.45</v>
      </c>
      <c r="L5" s="8">
        <v>10</v>
      </c>
      <c r="M5" s="8">
        <v>12</v>
      </c>
      <c r="N5" s="8">
        <v>8</v>
      </c>
      <c r="O5" s="8">
        <f t="shared" si="3"/>
        <v>10.6</v>
      </c>
    </row>
    <row r="6" spans="1:16" x14ac:dyDescent="0.2">
      <c r="A6" s="10">
        <f t="shared" si="0"/>
        <v>5</v>
      </c>
      <c r="B6" s="8" t="s">
        <v>24</v>
      </c>
      <c r="C6" s="8" t="s">
        <v>25</v>
      </c>
      <c r="D6" s="8">
        <v>9</v>
      </c>
      <c r="E6" s="8">
        <v>12</v>
      </c>
      <c r="F6" s="8">
        <v>7</v>
      </c>
      <c r="G6" s="8">
        <f t="shared" si="1"/>
        <v>10.1</v>
      </c>
      <c r="H6" s="8">
        <v>9.5</v>
      </c>
      <c r="I6" s="8">
        <v>9</v>
      </c>
      <c r="J6" s="8">
        <v>10</v>
      </c>
      <c r="K6" s="13">
        <f t="shared" si="2"/>
        <v>9.35</v>
      </c>
      <c r="L6" s="8">
        <v>11</v>
      </c>
      <c r="M6" s="8">
        <v>13</v>
      </c>
      <c r="N6" s="8">
        <v>15</v>
      </c>
      <c r="O6" s="8">
        <f t="shared" si="3"/>
        <v>12.8</v>
      </c>
    </row>
    <row r="7" spans="1:16" x14ac:dyDescent="0.2">
      <c r="A7" s="10">
        <f t="shared" si="0"/>
        <v>6</v>
      </c>
      <c r="B7" s="8" t="s">
        <v>26</v>
      </c>
      <c r="C7" s="8" t="s">
        <v>27</v>
      </c>
      <c r="D7" s="8">
        <v>9.5</v>
      </c>
      <c r="E7" s="8">
        <v>5</v>
      </c>
      <c r="F7" s="8">
        <v>6</v>
      </c>
      <c r="G7" s="8">
        <f t="shared" si="1"/>
        <v>6.55</v>
      </c>
      <c r="H7" s="8">
        <v>5</v>
      </c>
      <c r="I7" s="8">
        <v>10</v>
      </c>
      <c r="J7" s="8">
        <v>8</v>
      </c>
      <c r="K7" s="13">
        <f t="shared" si="2"/>
        <v>8.1</v>
      </c>
      <c r="L7" s="8">
        <v>10.5</v>
      </c>
      <c r="M7" s="8">
        <v>7</v>
      </c>
      <c r="N7" s="8">
        <v>15</v>
      </c>
      <c r="O7" s="8">
        <f t="shared" si="3"/>
        <v>9.65</v>
      </c>
    </row>
    <row r="8" spans="1:16" x14ac:dyDescent="0.2">
      <c r="A8" s="10">
        <f t="shared" si="0"/>
        <v>7</v>
      </c>
      <c r="B8" s="8" t="s">
        <v>28</v>
      </c>
      <c r="C8" s="8" t="s">
        <v>29</v>
      </c>
      <c r="D8" s="8">
        <v>3</v>
      </c>
      <c r="E8" s="8">
        <v>5</v>
      </c>
      <c r="F8" s="8">
        <v>5</v>
      </c>
      <c r="G8" s="8">
        <f t="shared" si="1"/>
        <v>4.4000000000000004</v>
      </c>
      <c r="H8" s="8">
        <v>3</v>
      </c>
      <c r="I8" s="8">
        <v>5</v>
      </c>
      <c r="J8" s="8">
        <v>6</v>
      </c>
      <c r="K8" s="13">
        <f t="shared" si="2"/>
        <v>4.5999999999999996</v>
      </c>
      <c r="L8" s="8">
        <v>8</v>
      </c>
      <c r="M8" s="8">
        <v>7</v>
      </c>
      <c r="N8" s="8">
        <v>6</v>
      </c>
      <c r="O8" s="8">
        <f t="shared" si="3"/>
        <v>7.1000000000000005</v>
      </c>
    </row>
    <row r="9" spans="1:16" x14ac:dyDescent="0.2">
      <c r="A9" s="10">
        <f t="shared" si="0"/>
        <v>8</v>
      </c>
      <c r="B9" s="8" t="s">
        <v>30</v>
      </c>
      <c r="C9" s="8" t="s">
        <v>31</v>
      </c>
      <c r="D9" s="8">
        <v>4</v>
      </c>
      <c r="E9" s="8">
        <v>15</v>
      </c>
      <c r="F9" s="8">
        <v>13</v>
      </c>
      <c r="G9" s="8">
        <f t="shared" si="1"/>
        <v>11.299999999999999</v>
      </c>
      <c r="H9" s="8">
        <v>3.5</v>
      </c>
      <c r="I9" s="8">
        <v>11</v>
      </c>
      <c r="J9" s="8">
        <v>14.5</v>
      </c>
      <c r="K9" s="13">
        <f t="shared" si="2"/>
        <v>9.4499999999999993</v>
      </c>
      <c r="L9" s="8">
        <v>12.5</v>
      </c>
      <c r="M9" s="8">
        <v>13.5</v>
      </c>
      <c r="N9" s="8">
        <v>16</v>
      </c>
      <c r="O9" s="8">
        <f t="shared" si="3"/>
        <v>13.7</v>
      </c>
    </row>
    <row r="10" spans="1:16" x14ac:dyDescent="0.2">
      <c r="A10" s="10">
        <f t="shared" si="0"/>
        <v>9</v>
      </c>
      <c r="B10" s="8" t="s">
        <v>32</v>
      </c>
      <c r="C10" s="8" t="s">
        <v>33</v>
      </c>
      <c r="D10" s="8">
        <v>15</v>
      </c>
      <c r="E10" s="8">
        <v>10</v>
      </c>
      <c r="F10" s="8">
        <v>8</v>
      </c>
      <c r="G10" s="8">
        <f t="shared" si="1"/>
        <v>11.1</v>
      </c>
      <c r="H10" s="8">
        <v>11</v>
      </c>
      <c r="I10" s="8">
        <v>13</v>
      </c>
      <c r="J10" s="8">
        <v>13.5</v>
      </c>
      <c r="K10" s="13">
        <f t="shared" si="2"/>
        <v>12.5</v>
      </c>
      <c r="L10" s="8">
        <v>9</v>
      </c>
      <c r="M10" s="8">
        <v>9</v>
      </c>
      <c r="N10" s="8">
        <v>13</v>
      </c>
      <c r="O10" s="8">
        <f t="shared" si="3"/>
        <v>9.7999999999999989</v>
      </c>
    </row>
    <row r="11" spans="1:16" x14ac:dyDescent="0.2">
      <c r="A11" s="10">
        <f t="shared" si="0"/>
        <v>10</v>
      </c>
      <c r="B11" s="8" t="s">
        <v>34</v>
      </c>
      <c r="C11" s="8" t="s">
        <v>35</v>
      </c>
      <c r="D11" s="8">
        <v>3</v>
      </c>
      <c r="E11" s="8">
        <v>5</v>
      </c>
      <c r="F11" s="8">
        <v>4</v>
      </c>
      <c r="G11" s="8">
        <f t="shared" si="1"/>
        <v>4.2</v>
      </c>
      <c r="H11" s="8">
        <v>5</v>
      </c>
      <c r="I11" s="8">
        <v>6</v>
      </c>
      <c r="J11" s="8">
        <v>4</v>
      </c>
      <c r="K11" s="13">
        <f t="shared" si="2"/>
        <v>5.3</v>
      </c>
      <c r="L11" s="8">
        <v>2.5</v>
      </c>
      <c r="M11" s="8">
        <v>2</v>
      </c>
      <c r="N11" s="8">
        <v>5</v>
      </c>
      <c r="O11" s="8">
        <f t="shared" si="3"/>
        <v>2.75</v>
      </c>
    </row>
    <row r="12" spans="1:16" x14ac:dyDescent="0.2">
      <c r="A12" s="10">
        <f t="shared" si="0"/>
        <v>11</v>
      </c>
      <c r="B12" s="8" t="s">
        <v>36</v>
      </c>
      <c r="C12" s="8" t="s">
        <v>37</v>
      </c>
      <c r="D12" s="8">
        <v>9</v>
      </c>
      <c r="E12" s="8">
        <v>13</v>
      </c>
      <c r="F12" s="8">
        <v>7</v>
      </c>
      <c r="G12" s="8">
        <f t="shared" si="1"/>
        <v>10.6</v>
      </c>
      <c r="H12" s="8">
        <v>14</v>
      </c>
      <c r="I12" s="8">
        <v>7</v>
      </c>
      <c r="J12" s="8">
        <v>12</v>
      </c>
      <c r="K12" s="13">
        <f t="shared" si="2"/>
        <v>10.100000000000001</v>
      </c>
      <c r="L12" s="8">
        <v>13.5</v>
      </c>
      <c r="M12" s="8">
        <v>8</v>
      </c>
      <c r="N12" s="8">
        <v>14</v>
      </c>
      <c r="O12" s="8">
        <f t="shared" si="3"/>
        <v>10.850000000000001</v>
      </c>
    </row>
    <row r="13" spans="1:16" x14ac:dyDescent="0.2">
      <c r="A13" s="10">
        <f t="shared" si="0"/>
        <v>12</v>
      </c>
      <c r="B13" s="8" t="s">
        <v>38</v>
      </c>
      <c r="C13" s="8" t="s">
        <v>39</v>
      </c>
      <c r="D13" s="8">
        <v>4.5</v>
      </c>
      <c r="E13" s="8">
        <v>6</v>
      </c>
      <c r="F13" s="8">
        <v>6.5</v>
      </c>
      <c r="G13" s="8">
        <f t="shared" si="1"/>
        <v>5.6499999999999995</v>
      </c>
      <c r="H13" s="8">
        <v>5</v>
      </c>
      <c r="I13" s="8">
        <v>6</v>
      </c>
      <c r="J13" s="8">
        <v>4</v>
      </c>
      <c r="K13" s="13">
        <f t="shared" si="2"/>
        <v>5.3</v>
      </c>
      <c r="L13" s="8">
        <v>9.5</v>
      </c>
      <c r="M13" s="8">
        <v>7</v>
      </c>
      <c r="N13" s="8">
        <v>6.5</v>
      </c>
      <c r="O13" s="8">
        <f t="shared" si="3"/>
        <v>7.6499999999999995</v>
      </c>
    </row>
    <row r="14" spans="1:16" x14ac:dyDescent="0.2">
      <c r="A14" s="10">
        <f t="shared" si="0"/>
        <v>13</v>
      </c>
      <c r="B14" s="8" t="s">
        <v>40</v>
      </c>
      <c r="C14" s="8" t="s">
        <v>41</v>
      </c>
      <c r="D14" s="8">
        <v>9</v>
      </c>
      <c r="E14" s="8">
        <v>7</v>
      </c>
      <c r="F14" s="8">
        <v>6.5</v>
      </c>
      <c r="G14" s="8">
        <f t="shared" si="1"/>
        <v>7.4999999999999991</v>
      </c>
      <c r="H14" s="8">
        <v>4</v>
      </c>
      <c r="I14" s="8">
        <v>7</v>
      </c>
      <c r="J14" s="8">
        <v>9</v>
      </c>
      <c r="K14" s="13">
        <f t="shared" si="2"/>
        <v>6.5</v>
      </c>
      <c r="L14" s="8">
        <v>8</v>
      </c>
      <c r="M14" s="8">
        <v>7</v>
      </c>
      <c r="N14" s="8">
        <v>11</v>
      </c>
      <c r="O14" s="8">
        <f t="shared" si="3"/>
        <v>8.1000000000000014</v>
      </c>
    </row>
    <row r="15" spans="1:16" x14ac:dyDescent="0.2">
      <c r="A15" s="10">
        <f t="shared" si="0"/>
        <v>14</v>
      </c>
      <c r="B15" s="8" t="s">
        <v>42</v>
      </c>
      <c r="C15" s="8" t="s">
        <v>23</v>
      </c>
      <c r="D15" s="8">
        <v>4</v>
      </c>
      <c r="E15" s="8">
        <v>5</v>
      </c>
      <c r="F15" s="8">
        <v>4</v>
      </c>
      <c r="G15" s="8">
        <f t="shared" si="1"/>
        <v>4.5</v>
      </c>
      <c r="H15" s="8">
        <v>7</v>
      </c>
      <c r="I15" s="8">
        <v>6</v>
      </c>
      <c r="J15" s="8">
        <v>5</v>
      </c>
      <c r="K15" s="13">
        <f t="shared" si="2"/>
        <v>6.1</v>
      </c>
      <c r="L15" s="8">
        <v>5</v>
      </c>
      <c r="M15" s="8">
        <v>5</v>
      </c>
      <c r="N15" s="8">
        <v>9.5</v>
      </c>
      <c r="O15" s="8">
        <f t="shared" si="3"/>
        <v>5.9</v>
      </c>
    </row>
    <row r="16" spans="1:16" x14ac:dyDescent="0.2">
      <c r="A16" s="10">
        <f t="shared" si="0"/>
        <v>15</v>
      </c>
      <c r="B16" s="8" t="s">
        <v>43</v>
      </c>
      <c r="C16" s="8" t="s">
        <v>23</v>
      </c>
      <c r="D16" s="8">
        <v>6</v>
      </c>
      <c r="E16" s="8">
        <v>9</v>
      </c>
      <c r="F16" s="8">
        <v>4</v>
      </c>
      <c r="G16" s="8">
        <f t="shared" si="1"/>
        <v>7.1</v>
      </c>
      <c r="H16" s="8">
        <v>6.5</v>
      </c>
      <c r="I16" s="8">
        <v>6</v>
      </c>
      <c r="J16" s="8">
        <v>4</v>
      </c>
      <c r="K16" s="13">
        <f t="shared" si="2"/>
        <v>5.75</v>
      </c>
      <c r="L16" s="8">
        <v>9.5</v>
      </c>
      <c r="M16" s="8">
        <v>8.5</v>
      </c>
      <c r="N16" s="8">
        <v>7</v>
      </c>
      <c r="O16" s="8">
        <f t="shared" si="3"/>
        <v>8.5</v>
      </c>
    </row>
    <row r="17" spans="1:15" x14ac:dyDescent="0.2">
      <c r="A17" s="10">
        <f t="shared" si="0"/>
        <v>16</v>
      </c>
      <c r="B17" s="8" t="s">
        <v>44</v>
      </c>
      <c r="C17" s="8" t="s">
        <v>45</v>
      </c>
      <c r="D17" s="8">
        <v>3.5</v>
      </c>
      <c r="E17" s="8">
        <v>6</v>
      </c>
      <c r="F17" s="8">
        <v>5</v>
      </c>
      <c r="G17" s="8">
        <f t="shared" si="1"/>
        <v>5.05</v>
      </c>
      <c r="H17" s="8">
        <v>7.5</v>
      </c>
      <c r="I17" s="8">
        <v>5</v>
      </c>
      <c r="J17" s="8">
        <v>4</v>
      </c>
      <c r="K17" s="13">
        <f t="shared" si="2"/>
        <v>5.55</v>
      </c>
      <c r="L17" s="8">
        <v>7.5</v>
      </c>
      <c r="M17" s="8">
        <v>6</v>
      </c>
      <c r="N17" s="8">
        <v>7</v>
      </c>
      <c r="O17" s="8">
        <f t="shared" si="3"/>
        <v>6.65</v>
      </c>
    </row>
    <row r="18" spans="1:15" x14ac:dyDescent="0.2">
      <c r="A18" s="10">
        <f t="shared" si="0"/>
        <v>17</v>
      </c>
      <c r="B18" s="8" t="s">
        <v>46</v>
      </c>
      <c r="C18" s="8" t="s">
        <v>47</v>
      </c>
      <c r="D18" s="8">
        <v>5</v>
      </c>
      <c r="E18" s="8">
        <v>6</v>
      </c>
      <c r="F18" s="8">
        <v>6</v>
      </c>
      <c r="G18" s="8">
        <f t="shared" si="1"/>
        <v>5.7</v>
      </c>
      <c r="H18" s="8">
        <v>7</v>
      </c>
      <c r="I18" s="8">
        <v>10</v>
      </c>
      <c r="J18" s="8">
        <v>6</v>
      </c>
      <c r="K18" s="13">
        <f t="shared" si="2"/>
        <v>8.3000000000000007</v>
      </c>
      <c r="L18" s="8">
        <v>6</v>
      </c>
      <c r="M18" s="8">
        <v>7</v>
      </c>
      <c r="N18" s="8">
        <v>10</v>
      </c>
      <c r="O18" s="8">
        <f t="shared" si="3"/>
        <v>7.3</v>
      </c>
    </row>
    <row r="19" spans="1:15" x14ac:dyDescent="0.2">
      <c r="A19" s="10">
        <f t="shared" si="0"/>
        <v>18</v>
      </c>
      <c r="B19" s="8" t="s">
        <v>48</v>
      </c>
      <c r="C19" s="8" t="s">
        <v>49</v>
      </c>
      <c r="D19" s="8">
        <v>5.5</v>
      </c>
      <c r="E19" s="8">
        <v>5</v>
      </c>
      <c r="F19" s="8">
        <v>5</v>
      </c>
      <c r="G19" s="8">
        <f t="shared" si="1"/>
        <v>5.15</v>
      </c>
      <c r="H19" s="8">
        <v>3</v>
      </c>
      <c r="I19" s="8">
        <v>6</v>
      </c>
      <c r="J19" s="8">
        <v>6</v>
      </c>
      <c r="K19" s="13">
        <f t="shared" si="2"/>
        <v>5.0999999999999996</v>
      </c>
      <c r="L19" s="8">
        <v>10</v>
      </c>
      <c r="M19" s="8">
        <v>9</v>
      </c>
      <c r="N19" s="8">
        <v>6</v>
      </c>
      <c r="O19" s="8">
        <f t="shared" si="3"/>
        <v>8.6999999999999993</v>
      </c>
    </row>
    <row r="20" spans="1:15" x14ac:dyDescent="0.2">
      <c r="A20" s="10">
        <f t="shared" si="0"/>
        <v>19</v>
      </c>
      <c r="B20" s="8" t="s">
        <v>50</v>
      </c>
      <c r="C20" s="8" t="s">
        <v>51</v>
      </c>
      <c r="D20" s="8">
        <v>9.5</v>
      </c>
      <c r="E20" s="8">
        <v>5</v>
      </c>
      <c r="F20" s="8">
        <v>4</v>
      </c>
      <c r="G20" s="8">
        <f t="shared" si="1"/>
        <v>6.1499999999999995</v>
      </c>
      <c r="H20" s="8">
        <v>12.5</v>
      </c>
      <c r="I20" s="8">
        <v>10</v>
      </c>
      <c r="J20" s="8">
        <v>6</v>
      </c>
      <c r="K20" s="13">
        <f t="shared" si="2"/>
        <v>9.9499999999999993</v>
      </c>
      <c r="L20" s="8">
        <v>9.5</v>
      </c>
      <c r="M20" s="8">
        <v>9</v>
      </c>
      <c r="N20" s="8">
        <v>12.5</v>
      </c>
      <c r="O20" s="8">
        <f t="shared" si="3"/>
        <v>9.85</v>
      </c>
    </row>
    <row r="21" spans="1:15" x14ac:dyDescent="0.2">
      <c r="A21" s="10">
        <f t="shared" si="0"/>
        <v>20</v>
      </c>
      <c r="B21" s="8" t="s">
        <v>52</v>
      </c>
      <c r="C21" s="8" t="s">
        <v>53</v>
      </c>
      <c r="D21" s="8">
        <v>9.5</v>
      </c>
      <c r="E21" s="8">
        <v>7</v>
      </c>
      <c r="F21" s="8">
        <v>0</v>
      </c>
      <c r="G21" s="8">
        <f t="shared" si="1"/>
        <v>6.35</v>
      </c>
      <c r="H21" s="8">
        <v>8</v>
      </c>
      <c r="I21" s="8">
        <v>7</v>
      </c>
      <c r="J21" s="8">
        <v>13</v>
      </c>
      <c r="K21" s="13">
        <f t="shared" si="2"/>
        <v>8.5</v>
      </c>
      <c r="L21" s="8">
        <v>9</v>
      </c>
      <c r="M21" s="8">
        <v>7</v>
      </c>
      <c r="N21" s="8">
        <v>13</v>
      </c>
      <c r="O21" s="8">
        <f t="shared" si="3"/>
        <v>8.7999999999999989</v>
      </c>
    </row>
    <row r="22" spans="1:15" x14ac:dyDescent="0.2">
      <c r="A22" s="10">
        <f t="shared" si="0"/>
        <v>21</v>
      </c>
      <c r="B22" s="8" t="s">
        <v>54</v>
      </c>
      <c r="C22" s="8" t="s">
        <v>55</v>
      </c>
      <c r="D22" s="8">
        <v>9</v>
      </c>
      <c r="E22" s="8">
        <v>11</v>
      </c>
      <c r="F22" s="8">
        <v>11</v>
      </c>
      <c r="G22" s="12">
        <f t="shared" si="1"/>
        <v>10.399999999999999</v>
      </c>
      <c r="H22" s="8">
        <v>12</v>
      </c>
      <c r="I22" s="8">
        <v>11</v>
      </c>
      <c r="J22" s="8">
        <v>12</v>
      </c>
      <c r="K22" s="13">
        <f t="shared" si="2"/>
        <v>11.5</v>
      </c>
      <c r="L22" s="8">
        <v>9.5</v>
      </c>
      <c r="M22" s="8">
        <v>7</v>
      </c>
      <c r="N22" s="8">
        <v>14.5</v>
      </c>
      <c r="O22" s="8">
        <f t="shared" si="3"/>
        <v>9.25</v>
      </c>
    </row>
    <row r="23" spans="1:15" x14ac:dyDescent="0.2">
      <c r="A23" s="10">
        <f t="shared" si="0"/>
        <v>22</v>
      </c>
      <c r="B23" s="8" t="s">
        <v>56</v>
      </c>
      <c r="C23" s="8" t="s">
        <v>57</v>
      </c>
      <c r="D23" s="8">
        <v>7</v>
      </c>
      <c r="E23" s="8">
        <v>5</v>
      </c>
      <c r="F23" s="8">
        <v>5</v>
      </c>
      <c r="G23" s="8">
        <f t="shared" si="1"/>
        <v>5.6</v>
      </c>
      <c r="H23" s="8">
        <v>6</v>
      </c>
      <c r="I23" s="8">
        <v>6</v>
      </c>
      <c r="J23" s="8">
        <v>4</v>
      </c>
      <c r="K23" s="13">
        <f t="shared" si="2"/>
        <v>5.6</v>
      </c>
      <c r="L23" s="8">
        <v>7</v>
      </c>
      <c r="M23" s="8">
        <v>6</v>
      </c>
      <c r="N23" s="8">
        <v>9</v>
      </c>
      <c r="O23" s="8">
        <f t="shared" si="3"/>
        <v>6.8999999999999995</v>
      </c>
    </row>
    <row r="24" spans="1:15" x14ac:dyDescent="0.2">
      <c r="B24" s="8" t="s">
        <v>143</v>
      </c>
      <c r="C24" s="8" t="s">
        <v>144</v>
      </c>
      <c r="D24" s="8" t="s">
        <v>155</v>
      </c>
      <c r="E24" s="8" t="s">
        <v>155</v>
      </c>
      <c r="F24" s="8" t="s">
        <v>155</v>
      </c>
      <c r="G24" s="8" t="s">
        <v>155</v>
      </c>
      <c r="H24" s="8" t="s">
        <v>155</v>
      </c>
      <c r="I24" s="8" t="s">
        <v>155</v>
      </c>
      <c r="J24" s="8" t="s">
        <v>155</v>
      </c>
      <c r="K24" s="8" t="s">
        <v>155</v>
      </c>
      <c r="L24" s="8">
        <v>3</v>
      </c>
      <c r="M24" s="8">
        <v>6.5</v>
      </c>
      <c r="N24" s="8">
        <v>7</v>
      </c>
      <c r="O24" s="8">
        <f t="shared" si="3"/>
        <v>5.5500000000000007</v>
      </c>
    </row>
    <row r="25" spans="1:15" x14ac:dyDescent="0.2">
      <c r="A25" s="10">
        <f t="shared" si="0"/>
        <v>24</v>
      </c>
      <c r="B25" s="8" t="s">
        <v>58</v>
      </c>
      <c r="C25" s="8" t="s">
        <v>59</v>
      </c>
      <c r="D25" s="8">
        <v>2.5</v>
      </c>
      <c r="E25" s="8">
        <v>7</v>
      </c>
      <c r="F25" s="8">
        <v>4</v>
      </c>
      <c r="G25" s="8">
        <f t="shared" si="1"/>
        <v>5.05</v>
      </c>
      <c r="H25" s="8">
        <v>4</v>
      </c>
      <c r="I25" s="8">
        <v>8</v>
      </c>
      <c r="J25" s="8">
        <v>5</v>
      </c>
      <c r="K25" s="13">
        <f t="shared" si="2"/>
        <v>6.2</v>
      </c>
      <c r="L25" s="8">
        <v>3.5</v>
      </c>
      <c r="M25" s="8">
        <v>6</v>
      </c>
      <c r="N25" s="8">
        <v>7</v>
      </c>
      <c r="O25" s="8">
        <f t="shared" si="3"/>
        <v>5.45</v>
      </c>
    </row>
    <row r="26" spans="1:15" x14ac:dyDescent="0.2">
      <c r="A26" s="10">
        <f t="shared" si="0"/>
        <v>25</v>
      </c>
      <c r="B26" s="8" t="s">
        <v>60</v>
      </c>
      <c r="C26" s="8" t="s">
        <v>61</v>
      </c>
      <c r="D26" s="8">
        <v>1.5</v>
      </c>
      <c r="E26" s="8">
        <v>5</v>
      </c>
      <c r="F26" s="8">
        <v>2</v>
      </c>
      <c r="G26" s="8">
        <f t="shared" si="1"/>
        <v>3.35</v>
      </c>
      <c r="H26" s="8">
        <v>4</v>
      </c>
      <c r="I26" s="8">
        <v>5</v>
      </c>
      <c r="J26" s="8">
        <v>6</v>
      </c>
      <c r="K26" s="13">
        <f t="shared" si="2"/>
        <v>4.9000000000000004</v>
      </c>
      <c r="L26" s="8">
        <v>5.5</v>
      </c>
      <c r="M26" s="8">
        <v>6</v>
      </c>
      <c r="N26" s="8">
        <v>9</v>
      </c>
      <c r="O26" s="8">
        <f t="shared" si="3"/>
        <v>6.45</v>
      </c>
    </row>
    <row r="27" spans="1:15" x14ac:dyDescent="0.2">
      <c r="A27" s="10">
        <f t="shared" si="0"/>
        <v>26</v>
      </c>
      <c r="B27" s="8" t="s">
        <v>62</v>
      </c>
      <c r="C27" s="8" t="s">
        <v>63</v>
      </c>
      <c r="D27" s="8">
        <v>2.5</v>
      </c>
      <c r="E27" s="8">
        <v>6</v>
      </c>
      <c r="F27" s="8">
        <v>7</v>
      </c>
      <c r="G27" s="8">
        <f t="shared" si="1"/>
        <v>5.15</v>
      </c>
      <c r="H27" s="8">
        <v>2.5</v>
      </c>
      <c r="I27" s="8">
        <v>7</v>
      </c>
      <c r="J27" s="8">
        <v>5</v>
      </c>
      <c r="K27" s="13">
        <f t="shared" si="2"/>
        <v>5.25</v>
      </c>
      <c r="L27" s="8">
        <v>9</v>
      </c>
      <c r="M27" s="8">
        <v>5</v>
      </c>
      <c r="N27" s="8">
        <v>7</v>
      </c>
      <c r="O27" s="8">
        <f t="shared" si="3"/>
        <v>6.6</v>
      </c>
    </row>
    <row r="28" spans="1:15" x14ac:dyDescent="0.2">
      <c r="A28" s="10">
        <f t="shared" si="0"/>
        <v>27</v>
      </c>
      <c r="B28" s="8" t="s">
        <v>64</v>
      </c>
      <c r="C28" s="8" t="s">
        <v>65</v>
      </c>
      <c r="D28" s="8">
        <v>6.5</v>
      </c>
      <c r="E28" s="8">
        <v>6.5</v>
      </c>
      <c r="F28" s="8">
        <v>6.5</v>
      </c>
      <c r="G28" s="8">
        <f t="shared" si="1"/>
        <v>6.5</v>
      </c>
      <c r="H28" s="8" t="s">
        <v>155</v>
      </c>
      <c r="I28" s="8" t="s">
        <v>155</v>
      </c>
      <c r="J28" s="8" t="s">
        <v>155</v>
      </c>
      <c r="K28" s="8" t="s">
        <v>155</v>
      </c>
      <c r="L28" s="8" t="s">
        <v>155</v>
      </c>
      <c r="M28" s="8" t="s">
        <v>155</v>
      </c>
      <c r="N28" s="8" t="s">
        <v>155</v>
      </c>
      <c r="O28" s="8" t="s">
        <v>155</v>
      </c>
    </row>
    <row r="29" spans="1:15" x14ac:dyDescent="0.2">
      <c r="A29" s="10">
        <f t="shared" si="0"/>
        <v>28</v>
      </c>
      <c r="B29" s="8" t="s">
        <v>66</v>
      </c>
      <c r="C29" s="8" t="s">
        <v>67</v>
      </c>
      <c r="D29" s="8">
        <v>5</v>
      </c>
      <c r="E29" s="8">
        <v>7</v>
      </c>
      <c r="F29" s="8">
        <v>6</v>
      </c>
      <c r="G29" s="8">
        <f t="shared" si="1"/>
        <v>6.2</v>
      </c>
      <c r="H29" s="8">
        <v>8.5</v>
      </c>
      <c r="I29" s="8">
        <v>5</v>
      </c>
      <c r="J29" s="8">
        <v>6</v>
      </c>
      <c r="K29" s="13">
        <f t="shared" si="2"/>
        <v>6.25</v>
      </c>
      <c r="L29" s="8">
        <v>4.5</v>
      </c>
      <c r="M29" s="8">
        <v>5</v>
      </c>
      <c r="N29" s="8">
        <v>9</v>
      </c>
      <c r="O29" s="8">
        <f t="shared" si="3"/>
        <v>5.6499999999999995</v>
      </c>
    </row>
    <row r="30" spans="1:15" x14ac:dyDescent="0.2">
      <c r="A30" s="10">
        <f t="shared" si="0"/>
        <v>29</v>
      </c>
      <c r="B30" s="8" t="s">
        <v>68</v>
      </c>
      <c r="C30" s="8" t="s">
        <v>33</v>
      </c>
      <c r="D30" s="8">
        <v>9.5</v>
      </c>
      <c r="E30" s="8">
        <v>8</v>
      </c>
      <c r="F30" s="8">
        <v>5</v>
      </c>
      <c r="G30" s="8">
        <f t="shared" si="1"/>
        <v>7.85</v>
      </c>
      <c r="H30" s="8">
        <v>9</v>
      </c>
      <c r="I30" s="8">
        <v>6</v>
      </c>
      <c r="J30" s="8">
        <v>9</v>
      </c>
      <c r="K30" s="13"/>
      <c r="L30" s="8">
        <v>9</v>
      </c>
      <c r="M30" s="8">
        <v>7</v>
      </c>
      <c r="N30" s="8">
        <v>7</v>
      </c>
      <c r="O30" s="8">
        <f t="shared" si="3"/>
        <v>7.6</v>
      </c>
    </row>
    <row r="31" spans="1:15" x14ac:dyDescent="0.2">
      <c r="A31" s="10">
        <f t="shared" si="0"/>
        <v>30</v>
      </c>
      <c r="B31" s="8" t="s">
        <v>69</v>
      </c>
      <c r="C31" s="8" t="s">
        <v>31</v>
      </c>
      <c r="D31" s="8">
        <v>3.5</v>
      </c>
      <c r="E31" s="8">
        <v>4</v>
      </c>
      <c r="F31" s="8">
        <v>3</v>
      </c>
      <c r="G31" s="8">
        <f t="shared" si="1"/>
        <v>3.65</v>
      </c>
      <c r="H31" s="8">
        <v>3.5</v>
      </c>
      <c r="I31" s="8">
        <v>4</v>
      </c>
      <c r="J31" s="8">
        <v>5</v>
      </c>
      <c r="K31" s="13">
        <f t="shared" si="2"/>
        <v>4.05</v>
      </c>
      <c r="L31" s="8">
        <v>7.5</v>
      </c>
      <c r="M31" s="8">
        <v>5</v>
      </c>
      <c r="N31" s="8">
        <v>6.5</v>
      </c>
      <c r="O31" s="8">
        <f t="shared" si="3"/>
        <v>6.05</v>
      </c>
    </row>
    <row r="32" spans="1:15" x14ac:dyDescent="0.2">
      <c r="A32" s="10">
        <f t="shared" si="0"/>
        <v>31</v>
      </c>
      <c r="B32" s="8" t="s">
        <v>70</v>
      </c>
      <c r="C32" s="8" t="s">
        <v>71</v>
      </c>
      <c r="D32" s="8">
        <v>7.5</v>
      </c>
      <c r="E32" s="8">
        <v>6</v>
      </c>
      <c r="F32" s="8">
        <v>4</v>
      </c>
      <c r="G32" s="8">
        <f t="shared" si="1"/>
        <v>6.05</v>
      </c>
      <c r="H32" s="8">
        <v>8</v>
      </c>
      <c r="I32" s="8">
        <v>6.5</v>
      </c>
      <c r="J32" s="8">
        <v>7</v>
      </c>
      <c r="K32" s="13">
        <f t="shared" si="2"/>
        <v>7.0500000000000007</v>
      </c>
      <c r="L32" s="8">
        <v>5.5</v>
      </c>
      <c r="M32" s="8">
        <v>4</v>
      </c>
      <c r="N32" s="8">
        <v>11</v>
      </c>
      <c r="O32" s="8">
        <f t="shared" si="3"/>
        <v>5.85</v>
      </c>
    </row>
    <row r="33" spans="1:15" x14ac:dyDescent="0.2">
      <c r="A33" s="10">
        <f t="shared" si="0"/>
        <v>32</v>
      </c>
      <c r="B33" s="8" t="s">
        <v>72</v>
      </c>
      <c r="C33" s="8" t="s">
        <v>73</v>
      </c>
      <c r="D33" s="8">
        <v>4.5</v>
      </c>
      <c r="E33" s="8">
        <v>6</v>
      </c>
      <c r="F33" s="8">
        <v>4</v>
      </c>
      <c r="G33" s="8">
        <f t="shared" si="1"/>
        <v>5.1499999999999995</v>
      </c>
      <c r="H33" s="8">
        <v>6.5</v>
      </c>
      <c r="I33" s="8">
        <v>12</v>
      </c>
      <c r="J33" s="8">
        <v>7</v>
      </c>
      <c r="K33" s="13">
        <f t="shared" si="2"/>
        <v>9.35</v>
      </c>
      <c r="L33" s="8">
        <v>7.5</v>
      </c>
      <c r="M33" s="8">
        <v>7</v>
      </c>
      <c r="N33" s="8">
        <v>12</v>
      </c>
      <c r="O33" s="8">
        <f t="shared" si="3"/>
        <v>8.15</v>
      </c>
    </row>
    <row r="34" spans="1:15" x14ac:dyDescent="0.2">
      <c r="A34" s="10">
        <f t="shared" si="0"/>
        <v>33</v>
      </c>
      <c r="B34" s="8" t="s">
        <v>74</v>
      </c>
      <c r="C34" s="8" t="s">
        <v>39</v>
      </c>
      <c r="D34" s="8">
        <v>10</v>
      </c>
      <c r="E34" s="8">
        <v>12</v>
      </c>
      <c r="F34" s="8">
        <v>7</v>
      </c>
      <c r="G34" s="8">
        <f t="shared" si="1"/>
        <v>10.4</v>
      </c>
      <c r="H34" s="8">
        <v>14.5</v>
      </c>
      <c r="I34" s="8">
        <v>7</v>
      </c>
      <c r="J34" s="8">
        <v>12</v>
      </c>
      <c r="K34" s="13">
        <f t="shared" si="2"/>
        <v>10.25</v>
      </c>
      <c r="L34" s="8">
        <v>8.5</v>
      </c>
      <c r="M34" s="8">
        <v>6</v>
      </c>
      <c r="N34" s="8">
        <v>14.5</v>
      </c>
      <c r="O34" s="8">
        <f t="shared" si="3"/>
        <v>8.4499999999999993</v>
      </c>
    </row>
    <row r="35" spans="1:15" x14ac:dyDescent="0.2">
      <c r="A35" s="10">
        <f t="shared" si="0"/>
        <v>34</v>
      </c>
      <c r="B35" s="8" t="s">
        <v>75</v>
      </c>
      <c r="C35" s="8" t="s">
        <v>76</v>
      </c>
      <c r="D35" s="8">
        <v>13.5</v>
      </c>
      <c r="E35" s="8">
        <v>8</v>
      </c>
      <c r="F35" s="8">
        <v>7</v>
      </c>
      <c r="G35" s="8">
        <f t="shared" si="1"/>
        <v>9.4500000000000011</v>
      </c>
      <c r="H35" s="8">
        <v>7.5</v>
      </c>
      <c r="I35" s="8">
        <v>9</v>
      </c>
      <c r="J35" s="8">
        <v>6</v>
      </c>
      <c r="K35" s="13">
        <f t="shared" si="2"/>
        <v>7.95</v>
      </c>
      <c r="L35" s="8">
        <v>11.5</v>
      </c>
      <c r="M35" s="8">
        <v>6</v>
      </c>
      <c r="N35" s="8">
        <v>12</v>
      </c>
      <c r="O35" s="8">
        <f t="shared" si="3"/>
        <v>8.85</v>
      </c>
    </row>
    <row r="36" spans="1:15" x14ac:dyDescent="0.2">
      <c r="A36" s="10">
        <f t="shared" si="0"/>
        <v>35</v>
      </c>
      <c r="B36" s="8" t="s">
        <v>77</v>
      </c>
      <c r="C36" s="8" t="s">
        <v>78</v>
      </c>
      <c r="D36" s="8">
        <v>8.5</v>
      </c>
      <c r="E36" s="8">
        <v>10</v>
      </c>
      <c r="F36" s="8">
        <v>4</v>
      </c>
      <c r="G36" s="8">
        <f t="shared" si="1"/>
        <v>8.35</v>
      </c>
      <c r="H36" s="8">
        <v>5.5</v>
      </c>
      <c r="I36" s="8">
        <v>6</v>
      </c>
      <c r="J36" s="8">
        <v>4</v>
      </c>
      <c r="K36" s="13">
        <f t="shared" si="2"/>
        <v>5.45</v>
      </c>
      <c r="L36" s="8">
        <v>6.5</v>
      </c>
      <c r="M36" s="8">
        <v>7</v>
      </c>
      <c r="N36" s="8">
        <v>4</v>
      </c>
      <c r="O36" s="8">
        <f t="shared" si="3"/>
        <v>6.25</v>
      </c>
    </row>
    <row r="37" spans="1:15" x14ac:dyDescent="0.2">
      <c r="A37" s="10">
        <f t="shared" si="0"/>
        <v>36</v>
      </c>
      <c r="B37" s="8" t="s">
        <v>79</v>
      </c>
      <c r="C37" s="8" t="s">
        <v>80</v>
      </c>
      <c r="D37" s="8">
        <v>9.5</v>
      </c>
      <c r="E37" s="8">
        <v>13</v>
      </c>
      <c r="F37" s="8">
        <v>8</v>
      </c>
      <c r="G37" s="8">
        <f t="shared" si="1"/>
        <v>10.95</v>
      </c>
      <c r="H37" s="8">
        <v>6.5</v>
      </c>
      <c r="I37" s="8">
        <v>9</v>
      </c>
      <c r="J37" s="8">
        <v>7</v>
      </c>
      <c r="K37" s="13">
        <f t="shared" si="2"/>
        <v>7.8500000000000005</v>
      </c>
      <c r="L37" s="8">
        <v>7</v>
      </c>
      <c r="M37" s="8">
        <v>11</v>
      </c>
      <c r="N37" s="8">
        <v>12</v>
      </c>
      <c r="O37" s="8">
        <f t="shared" si="3"/>
        <v>10</v>
      </c>
    </row>
    <row r="38" spans="1:15" x14ac:dyDescent="0.2">
      <c r="A38" s="10">
        <f t="shared" si="0"/>
        <v>37</v>
      </c>
      <c r="B38" s="8" t="s">
        <v>81</v>
      </c>
      <c r="C38" s="8" t="s">
        <v>82</v>
      </c>
      <c r="D38" s="8">
        <v>10.5</v>
      </c>
      <c r="E38" s="8">
        <v>9</v>
      </c>
      <c r="F38" s="8">
        <v>12</v>
      </c>
      <c r="G38" s="8">
        <f t="shared" si="1"/>
        <v>10.050000000000001</v>
      </c>
      <c r="H38" s="8">
        <v>10.5</v>
      </c>
      <c r="I38" s="8">
        <v>6</v>
      </c>
      <c r="J38" s="8">
        <v>13</v>
      </c>
      <c r="K38" s="13">
        <f t="shared" si="2"/>
        <v>8.75</v>
      </c>
      <c r="L38" s="8">
        <v>11.5</v>
      </c>
      <c r="M38" s="8">
        <v>10</v>
      </c>
      <c r="N38" s="8">
        <v>16.5</v>
      </c>
      <c r="O38" s="8">
        <f t="shared" si="3"/>
        <v>11.75</v>
      </c>
    </row>
    <row r="39" spans="1:15" x14ac:dyDescent="0.2">
      <c r="A39" s="10">
        <f t="shared" si="0"/>
        <v>38</v>
      </c>
      <c r="B39" s="8" t="s">
        <v>83</v>
      </c>
      <c r="C39" s="8" t="s">
        <v>84</v>
      </c>
      <c r="D39" s="8">
        <v>7</v>
      </c>
      <c r="E39" s="8">
        <v>7</v>
      </c>
      <c r="F39" s="8">
        <v>7</v>
      </c>
      <c r="G39" s="8">
        <f t="shared" si="1"/>
        <v>7</v>
      </c>
      <c r="H39" s="8">
        <v>3.5</v>
      </c>
      <c r="I39" s="8">
        <v>6</v>
      </c>
      <c r="J39" s="8">
        <v>5</v>
      </c>
      <c r="K39" s="13">
        <f t="shared" si="2"/>
        <v>5.05</v>
      </c>
      <c r="L39" s="8">
        <v>10.5</v>
      </c>
      <c r="M39" s="8">
        <v>9</v>
      </c>
      <c r="N39" s="8">
        <v>7</v>
      </c>
      <c r="O39" s="8">
        <f t="shared" si="3"/>
        <v>9.0500000000000007</v>
      </c>
    </row>
    <row r="40" spans="1:15" x14ac:dyDescent="0.2">
      <c r="A40" s="10">
        <f t="shared" si="0"/>
        <v>39</v>
      </c>
      <c r="B40" s="8" t="s">
        <v>85</v>
      </c>
      <c r="C40" s="8" t="s">
        <v>86</v>
      </c>
      <c r="D40" s="8">
        <v>6</v>
      </c>
      <c r="E40" s="8">
        <v>8</v>
      </c>
      <c r="F40" s="8">
        <v>9</v>
      </c>
      <c r="G40" s="8">
        <f t="shared" si="1"/>
        <v>7.6</v>
      </c>
      <c r="H40" s="8">
        <v>11</v>
      </c>
      <c r="I40" s="8">
        <v>12</v>
      </c>
      <c r="J40" s="8">
        <v>13</v>
      </c>
      <c r="K40" s="8">
        <f t="shared" si="2"/>
        <v>11.9</v>
      </c>
      <c r="L40" s="8">
        <v>9</v>
      </c>
      <c r="M40" s="8">
        <v>9</v>
      </c>
      <c r="N40" s="8">
        <v>15</v>
      </c>
      <c r="O40" s="8">
        <f t="shared" si="3"/>
        <v>10.199999999999999</v>
      </c>
    </row>
    <row r="41" spans="1:15" x14ac:dyDescent="0.2">
      <c r="A41" s="10">
        <v>39</v>
      </c>
      <c r="B41" s="8" t="s">
        <v>137</v>
      </c>
      <c r="C41" s="8" t="s">
        <v>138</v>
      </c>
      <c r="D41" s="8">
        <v>4.5</v>
      </c>
      <c r="E41" s="8">
        <v>9</v>
      </c>
      <c r="F41" s="8">
        <v>7</v>
      </c>
      <c r="G41" s="14">
        <f t="shared" si="1"/>
        <v>7.25</v>
      </c>
      <c r="H41" s="8">
        <v>2.5</v>
      </c>
      <c r="I41" s="8">
        <v>6</v>
      </c>
      <c r="J41" s="8">
        <v>6</v>
      </c>
      <c r="K41" s="8">
        <f t="shared" si="2"/>
        <v>4.95</v>
      </c>
      <c r="L41" s="8">
        <v>12</v>
      </c>
      <c r="M41" s="8">
        <v>8</v>
      </c>
      <c r="N41" s="8">
        <v>13</v>
      </c>
      <c r="O41" s="8">
        <f t="shared" si="3"/>
        <v>10.199999999999999</v>
      </c>
    </row>
    <row r="42" spans="1:15" x14ac:dyDescent="0.2">
      <c r="B42" s="12" t="s">
        <v>151</v>
      </c>
      <c r="C42" s="8"/>
      <c r="D42" s="15">
        <f>AVERAGE(D2:D41)</f>
        <v>6.666666666666667</v>
      </c>
      <c r="E42" s="15">
        <f>AVERAGE(E2:E41)</f>
        <v>7.884615384615385</v>
      </c>
      <c r="F42" s="15">
        <f>AVERAGE(F2:F41)</f>
        <v>6</v>
      </c>
      <c r="G42" s="15">
        <f>AVERAGE(G2:G40)</f>
        <v>7.1394736842105262</v>
      </c>
      <c r="H42" s="15">
        <f>AVERAGE(H2:H41)</f>
        <v>6.8815789473684212</v>
      </c>
      <c r="I42" s="15">
        <f>AVERAGE(I2:I41)</f>
        <v>7.5657894736842106</v>
      </c>
      <c r="J42" s="15">
        <f>AVERAGE(J2:J41)</f>
        <v>7.6447368421052628</v>
      </c>
      <c r="K42" s="15">
        <f>AVERAGE(K2:K41)</f>
        <v>7.3729729729729714</v>
      </c>
      <c r="L42" s="16">
        <f>AVERAGE(L2:L41)</f>
        <v>8.3684210526315788</v>
      </c>
      <c r="M42" s="16">
        <f>AVERAGE(M3:M41)</f>
        <v>7.4342105263157894</v>
      </c>
      <c r="N42" s="16">
        <f>AVERAGE(N3:N41)</f>
        <v>10.223684210526315</v>
      </c>
      <c r="O42" s="16">
        <f>AVERAGE(O3:O41)</f>
        <v>8.2723684210526329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A86B-C6DA-DC4D-B9E7-E5BC0D57F32E}">
  <dimension ref="A1:O38"/>
  <sheetViews>
    <sheetView tabSelected="1" zoomScale="117" workbookViewId="0">
      <selection activeCell="P10" sqref="P10"/>
    </sheetView>
  </sheetViews>
  <sheetFormatPr baseColWidth="10" defaultRowHeight="16" x14ac:dyDescent="0.2"/>
  <cols>
    <col min="1" max="1" width="10.83203125" style="10"/>
    <col min="2" max="2" width="21.1640625" style="10" customWidth="1"/>
    <col min="3" max="3" width="10.83203125" style="10"/>
    <col min="4" max="4" width="11.83203125" style="10" customWidth="1"/>
    <col min="5" max="6" width="10.83203125" style="10"/>
    <col min="7" max="7" width="12.83203125" style="10" customWidth="1"/>
    <col min="8" max="8" width="13.6640625" style="10" customWidth="1"/>
    <col min="9" max="10" width="10.83203125" style="10"/>
    <col min="11" max="11" width="14.1640625" style="10" customWidth="1"/>
    <col min="12" max="12" width="12" style="10" customWidth="1"/>
    <col min="13" max="14" width="10.83203125" style="10"/>
    <col min="15" max="15" width="11.83203125" style="10" customWidth="1"/>
    <col min="16" max="16384" width="10.83203125" style="10"/>
  </cols>
  <sheetData>
    <row r="1" spans="1:15" x14ac:dyDescent="0.2">
      <c r="D1" s="11" t="s">
        <v>149</v>
      </c>
      <c r="E1" s="11" t="s">
        <v>136</v>
      </c>
      <c r="F1" s="11" t="s">
        <v>150</v>
      </c>
      <c r="G1" s="11" t="s">
        <v>146</v>
      </c>
      <c r="H1" s="11" t="s">
        <v>157</v>
      </c>
      <c r="I1" s="11" t="s">
        <v>136</v>
      </c>
      <c r="J1" s="11" t="s">
        <v>150</v>
      </c>
      <c r="K1" s="12" t="s">
        <v>147</v>
      </c>
      <c r="L1" s="11" t="s">
        <v>158</v>
      </c>
      <c r="M1" s="11" t="s">
        <v>136</v>
      </c>
      <c r="N1" s="11" t="s">
        <v>150</v>
      </c>
      <c r="O1" s="9" t="s">
        <v>148</v>
      </c>
    </row>
    <row r="2" spans="1:15" x14ac:dyDescent="0.2">
      <c r="A2" s="8">
        <f>ROW()-ROW($A$2)+1</f>
        <v>1</v>
      </c>
      <c r="B2" s="19" t="s">
        <v>5</v>
      </c>
      <c r="C2" s="19" t="s">
        <v>87</v>
      </c>
      <c r="D2" s="8">
        <v>8</v>
      </c>
      <c r="E2" s="8">
        <v>7</v>
      </c>
      <c r="F2" s="8">
        <v>5</v>
      </c>
      <c r="G2" s="12">
        <f>AVERAGE(D2*0.3+E2*0.5+F2*0.2)</f>
        <v>6.9</v>
      </c>
      <c r="H2" s="8">
        <v>9</v>
      </c>
      <c r="I2" s="8">
        <v>9</v>
      </c>
      <c r="J2" s="13">
        <v>7</v>
      </c>
      <c r="K2" s="8">
        <f>AVERAGE(H2*0.3+I2*0.5+J2*0.2)</f>
        <v>8.6</v>
      </c>
      <c r="L2" s="8">
        <v>7</v>
      </c>
      <c r="M2" s="8">
        <v>9</v>
      </c>
      <c r="N2" s="8">
        <v>10</v>
      </c>
      <c r="O2" s="8">
        <f>AVERAGE(L2*0.3+M2*0.5+N2*0.2)</f>
        <v>8.6</v>
      </c>
    </row>
    <row r="3" spans="1:15" x14ac:dyDescent="0.2">
      <c r="A3" s="8">
        <f t="shared" ref="A3:A37" si="0">ROW()-ROW($A$2)+1</f>
        <v>2</v>
      </c>
      <c r="B3" s="19" t="s">
        <v>88</v>
      </c>
      <c r="C3" s="19" t="s">
        <v>89</v>
      </c>
      <c r="D3" s="8">
        <v>7</v>
      </c>
      <c r="E3" s="8">
        <v>6</v>
      </c>
      <c r="F3" s="8">
        <v>6</v>
      </c>
      <c r="G3" s="12">
        <f t="shared" ref="G3:G37" si="1">AVERAGE(D3*0.3+E3*0.5+F3*0.2)</f>
        <v>6.3</v>
      </c>
      <c r="H3" s="8">
        <v>6</v>
      </c>
      <c r="I3" s="8">
        <v>6</v>
      </c>
      <c r="J3" s="13">
        <v>4.5</v>
      </c>
      <c r="K3" s="8">
        <f t="shared" ref="K3:K37" si="2">AVERAGE(H3*0.3+I3*0.5+J3*0.2)</f>
        <v>5.7</v>
      </c>
      <c r="L3" s="8">
        <v>10</v>
      </c>
      <c r="M3" s="8">
        <v>9</v>
      </c>
      <c r="N3" s="8">
        <v>7</v>
      </c>
      <c r="O3" s="8">
        <f t="shared" ref="O3:O37" si="3">AVERAGE(L3*0.3+M3*0.5+N3*0.2)</f>
        <v>8.9</v>
      </c>
    </row>
    <row r="4" spans="1:15" x14ac:dyDescent="0.2">
      <c r="A4" s="8">
        <f t="shared" si="0"/>
        <v>3</v>
      </c>
      <c r="B4" s="19" t="s">
        <v>90</v>
      </c>
      <c r="C4" s="19" t="s">
        <v>91</v>
      </c>
      <c r="D4" s="8">
        <v>7</v>
      </c>
      <c r="E4" s="8">
        <v>7</v>
      </c>
      <c r="F4" s="8">
        <v>13</v>
      </c>
      <c r="G4" s="12">
        <f t="shared" si="1"/>
        <v>8.1999999999999993</v>
      </c>
      <c r="H4" s="8">
        <v>12</v>
      </c>
      <c r="I4" s="8">
        <v>9</v>
      </c>
      <c r="J4" s="13">
        <v>8</v>
      </c>
      <c r="K4" s="8">
        <f t="shared" si="2"/>
        <v>9.6999999999999993</v>
      </c>
      <c r="L4" s="8" t="s">
        <v>155</v>
      </c>
      <c r="M4" s="8" t="s">
        <v>155</v>
      </c>
      <c r="N4" s="8" t="s">
        <v>155</v>
      </c>
      <c r="O4" s="8" t="s">
        <v>155</v>
      </c>
    </row>
    <row r="5" spans="1:15" x14ac:dyDescent="0.2">
      <c r="A5" s="8">
        <f t="shared" si="0"/>
        <v>4</v>
      </c>
      <c r="B5" s="19" t="s">
        <v>15</v>
      </c>
      <c r="C5" s="19" t="s">
        <v>92</v>
      </c>
      <c r="D5" s="8">
        <v>8</v>
      </c>
      <c r="E5" s="8">
        <v>13</v>
      </c>
      <c r="F5" s="8">
        <v>9.5</v>
      </c>
      <c r="G5" s="12">
        <f t="shared" si="1"/>
        <v>10.8</v>
      </c>
      <c r="H5" s="8">
        <v>10</v>
      </c>
      <c r="I5" s="8">
        <v>12</v>
      </c>
      <c r="J5" s="13">
        <v>7.5</v>
      </c>
      <c r="K5" s="8">
        <f t="shared" si="2"/>
        <v>10.5</v>
      </c>
      <c r="L5" s="8">
        <v>9</v>
      </c>
      <c r="M5" s="8">
        <v>13.5</v>
      </c>
      <c r="N5" s="8">
        <v>15</v>
      </c>
      <c r="O5" s="8">
        <f t="shared" si="3"/>
        <v>12.45</v>
      </c>
    </row>
    <row r="6" spans="1:15" x14ac:dyDescent="0.2">
      <c r="A6" s="8">
        <f t="shared" si="0"/>
        <v>5</v>
      </c>
      <c r="B6" s="19" t="s">
        <v>93</v>
      </c>
      <c r="C6" s="19" t="s">
        <v>94</v>
      </c>
      <c r="D6" s="8">
        <v>7</v>
      </c>
      <c r="E6" s="8">
        <v>9</v>
      </c>
      <c r="F6" s="8">
        <v>6</v>
      </c>
      <c r="G6" s="12">
        <f t="shared" si="1"/>
        <v>7.8</v>
      </c>
      <c r="H6" s="8">
        <v>7</v>
      </c>
      <c r="I6" s="8">
        <v>10</v>
      </c>
      <c r="J6" s="13">
        <v>11</v>
      </c>
      <c r="K6" s="8">
        <f t="shared" si="2"/>
        <v>9.3000000000000007</v>
      </c>
      <c r="L6" s="8">
        <v>9.5</v>
      </c>
      <c r="M6" s="8">
        <v>6</v>
      </c>
      <c r="N6" s="8">
        <v>7</v>
      </c>
      <c r="O6" s="8">
        <f t="shared" si="3"/>
        <v>7.25</v>
      </c>
    </row>
    <row r="7" spans="1:15" x14ac:dyDescent="0.2">
      <c r="A7" s="8">
        <f t="shared" si="0"/>
        <v>6</v>
      </c>
      <c r="B7" s="19" t="s">
        <v>95</v>
      </c>
      <c r="C7" s="19" t="s">
        <v>96</v>
      </c>
      <c r="D7" s="8">
        <v>8</v>
      </c>
      <c r="E7" s="8">
        <v>8</v>
      </c>
      <c r="F7" s="8">
        <v>2.5</v>
      </c>
      <c r="G7" s="12">
        <f t="shared" si="1"/>
        <v>6.9</v>
      </c>
      <c r="H7" s="8">
        <v>9</v>
      </c>
      <c r="I7" s="8">
        <v>7</v>
      </c>
      <c r="J7" s="13">
        <v>6.5</v>
      </c>
      <c r="K7" s="8">
        <f t="shared" si="2"/>
        <v>7.4999999999999991</v>
      </c>
      <c r="L7" s="8">
        <v>7</v>
      </c>
      <c r="M7" s="8">
        <v>10</v>
      </c>
      <c r="N7" s="8">
        <v>9</v>
      </c>
      <c r="O7" s="8">
        <f t="shared" si="3"/>
        <v>8.9</v>
      </c>
    </row>
    <row r="8" spans="1:15" x14ac:dyDescent="0.2">
      <c r="A8" s="8">
        <f t="shared" si="0"/>
        <v>7</v>
      </c>
      <c r="B8" s="19" t="s">
        <v>97</v>
      </c>
      <c r="C8" s="19" t="s">
        <v>98</v>
      </c>
      <c r="D8" s="8">
        <v>7</v>
      </c>
      <c r="E8" s="8">
        <v>7</v>
      </c>
      <c r="F8" s="8">
        <v>6</v>
      </c>
      <c r="G8" s="12">
        <f t="shared" si="1"/>
        <v>6.8</v>
      </c>
      <c r="H8" s="8">
        <v>6</v>
      </c>
      <c r="I8" s="8">
        <v>7</v>
      </c>
      <c r="J8" s="13">
        <v>6.5</v>
      </c>
      <c r="K8" s="8">
        <f t="shared" si="2"/>
        <v>6.6</v>
      </c>
      <c r="L8" s="8">
        <v>7</v>
      </c>
      <c r="M8" s="8">
        <v>9</v>
      </c>
      <c r="N8" s="8">
        <v>9</v>
      </c>
      <c r="O8" s="8">
        <f t="shared" si="3"/>
        <v>8.4</v>
      </c>
    </row>
    <row r="9" spans="1:15" x14ac:dyDescent="0.2">
      <c r="A9" s="8">
        <f t="shared" si="0"/>
        <v>8</v>
      </c>
      <c r="B9" s="19" t="s">
        <v>99</v>
      </c>
      <c r="C9" s="19" t="s">
        <v>100</v>
      </c>
      <c r="D9" s="8">
        <v>11</v>
      </c>
      <c r="E9" s="8">
        <v>7</v>
      </c>
      <c r="F9" s="8">
        <v>8</v>
      </c>
      <c r="G9" s="12">
        <f t="shared" si="1"/>
        <v>8.4</v>
      </c>
      <c r="H9" s="8">
        <v>10</v>
      </c>
      <c r="I9" s="8">
        <v>13</v>
      </c>
      <c r="J9" s="13">
        <v>8</v>
      </c>
      <c r="K9" s="8">
        <f t="shared" si="2"/>
        <v>11.1</v>
      </c>
      <c r="L9" s="12">
        <v>13.5</v>
      </c>
      <c r="M9" s="12">
        <v>11</v>
      </c>
      <c r="N9" s="12">
        <v>14</v>
      </c>
      <c r="O9" s="8">
        <f t="shared" si="3"/>
        <v>12.350000000000001</v>
      </c>
    </row>
    <row r="10" spans="1:15" x14ac:dyDescent="0.2">
      <c r="A10" s="8">
        <f t="shared" si="0"/>
        <v>9</v>
      </c>
      <c r="B10" s="19" t="s">
        <v>101</v>
      </c>
      <c r="C10" s="19" t="s">
        <v>102</v>
      </c>
      <c r="D10" s="8">
        <v>9</v>
      </c>
      <c r="E10" s="8">
        <v>13</v>
      </c>
      <c r="F10" s="8">
        <v>11</v>
      </c>
      <c r="G10" s="12">
        <f t="shared" si="1"/>
        <v>11.399999999999999</v>
      </c>
      <c r="H10" s="8">
        <v>14</v>
      </c>
      <c r="I10" s="8">
        <v>12</v>
      </c>
      <c r="J10" s="13">
        <v>8</v>
      </c>
      <c r="K10" s="8">
        <f t="shared" si="2"/>
        <v>11.799999999999999</v>
      </c>
      <c r="L10" s="8">
        <v>8</v>
      </c>
      <c r="M10" s="8">
        <v>11</v>
      </c>
      <c r="N10" s="8">
        <v>16</v>
      </c>
      <c r="O10" s="8">
        <f t="shared" si="3"/>
        <v>11.100000000000001</v>
      </c>
    </row>
    <row r="11" spans="1:15" x14ac:dyDescent="0.2">
      <c r="A11" s="8">
        <f t="shared" si="0"/>
        <v>10</v>
      </c>
      <c r="B11" s="19" t="s">
        <v>103</v>
      </c>
      <c r="C11" s="19" t="s">
        <v>41</v>
      </c>
      <c r="D11" s="8">
        <v>11</v>
      </c>
      <c r="E11" s="8">
        <v>15</v>
      </c>
      <c r="F11" s="8">
        <v>13</v>
      </c>
      <c r="G11" s="12">
        <f t="shared" si="1"/>
        <v>13.4</v>
      </c>
      <c r="H11" s="8">
        <v>11</v>
      </c>
      <c r="I11" s="8">
        <v>9</v>
      </c>
      <c r="J11" s="13">
        <v>11</v>
      </c>
      <c r="K11" s="8">
        <f t="shared" si="2"/>
        <v>10</v>
      </c>
      <c r="L11" s="8">
        <v>14.5</v>
      </c>
      <c r="M11" s="8">
        <v>10</v>
      </c>
      <c r="N11" s="8">
        <v>14</v>
      </c>
      <c r="O11" s="8">
        <f t="shared" si="3"/>
        <v>12.15</v>
      </c>
    </row>
    <row r="12" spans="1:15" x14ac:dyDescent="0.2">
      <c r="A12" s="8">
        <f t="shared" si="0"/>
        <v>11</v>
      </c>
      <c r="B12" s="19" t="s">
        <v>13</v>
      </c>
      <c r="C12" s="19" t="s">
        <v>104</v>
      </c>
      <c r="D12" s="8">
        <v>13</v>
      </c>
      <c r="E12" s="8">
        <v>15</v>
      </c>
      <c r="F12" s="8">
        <v>7</v>
      </c>
      <c r="G12" s="12">
        <f t="shared" si="1"/>
        <v>12.8</v>
      </c>
      <c r="H12" s="8">
        <v>14</v>
      </c>
      <c r="I12" s="8">
        <v>8</v>
      </c>
      <c r="J12" s="13">
        <v>13</v>
      </c>
      <c r="K12" s="8">
        <f t="shared" si="2"/>
        <v>10.799999999999999</v>
      </c>
      <c r="L12" s="8">
        <v>13</v>
      </c>
      <c r="M12" s="8">
        <v>14</v>
      </c>
      <c r="N12" s="8">
        <v>15</v>
      </c>
      <c r="O12" s="8">
        <f t="shared" si="3"/>
        <v>13.9</v>
      </c>
    </row>
    <row r="13" spans="1:15" x14ac:dyDescent="0.2">
      <c r="A13" s="8">
        <f t="shared" si="0"/>
        <v>12</v>
      </c>
      <c r="B13" s="19" t="s">
        <v>105</v>
      </c>
      <c r="C13" s="19" t="s">
        <v>106</v>
      </c>
      <c r="D13" s="8">
        <v>6</v>
      </c>
      <c r="E13" s="8">
        <v>12</v>
      </c>
      <c r="F13" s="8">
        <v>14</v>
      </c>
      <c r="G13" s="12">
        <f t="shared" si="1"/>
        <v>10.6</v>
      </c>
      <c r="H13" s="8">
        <v>9</v>
      </c>
      <c r="I13" s="8">
        <v>12</v>
      </c>
      <c r="J13" s="13">
        <v>15</v>
      </c>
      <c r="K13" s="8">
        <f t="shared" si="2"/>
        <v>11.7</v>
      </c>
      <c r="L13" s="8">
        <v>12</v>
      </c>
      <c r="M13" s="8">
        <v>10</v>
      </c>
      <c r="N13" s="8">
        <v>17.5</v>
      </c>
      <c r="O13" s="8">
        <f t="shared" si="3"/>
        <v>12.1</v>
      </c>
    </row>
    <row r="14" spans="1:15" x14ac:dyDescent="0.2">
      <c r="A14" s="8">
        <f t="shared" si="0"/>
        <v>13</v>
      </c>
      <c r="B14" s="19" t="s">
        <v>11</v>
      </c>
      <c r="C14" s="19" t="s">
        <v>41</v>
      </c>
      <c r="D14" s="8">
        <v>6</v>
      </c>
      <c r="E14" s="8">
        <v>7</v>
      </c>
      <c r="F14" s="8">
        <v>6</v>
      </c>
      <c r="G14" s="12">
        <f t="shared" si="1"/>
        <v>6.5</v>
      </c>
      <c r="H14" s="8">
        <v>7</v>
      </c>
      <c r="I14" s="8">
        <v>6</v>
      </c>
      <c r="J14" s="13">
        <v>5.5</v>
      </c>
      <c r="K14" s="8">
        <f t="shared" si="2"/>
        <v>6.1999999999999993</v>
      </c>
      <c r="L14" s="8">
        <v>6</v>
      </c>
      <c r="M14" s="8">
        <v>7</v>
      </c>
      <c r="N14" s="8">
        <v>8</v>
      </c>
      <c r="O14" s="8">
        <f t="shared" si="3"/>
        <v>6.9</v>
      </c>
    </row>
    <row r="15" spans="1:15" x14ac:dyDescent="0.2">
      <c r="A15" s="8">
        <f t="shared" si="0"/>
        <v>14</v>
      </c>
      <c r="B15" s="19" t="s">
        <v>107</v>
      </c>
      <c r="C15" s="19" t="s">
        <v>108</v>
      </c>
      <c r="D15" s="8">
        <v>7</v>
      </c>
      <c r="E15" s="8">
        <v>7</v>
      </c>
      <c r="F15" s="8">
        <v>9</v>
      </c>
      <c r="G15" s="12">
        <f t="shared" si="1"/>
        <v>7.3999999999999995</v>
      </c>
      <c r="H15" s="8">
        <v>8</v>
      </c>
      <c r="I15" s="8">
        <v>13</v>
      </c>
      <c r="J15" s="13">
        <v>13</v>
      </c>
      <c r="K15" s="8">
        <f t="shared" si="2"/>
        <v>11.5</v>
      </c>
      <c r="L15" s="8">
        <v>10.5</v>
      </c>
      <c r="M15" s="8">
        <v>9</v>
      </c>
      <c r="N15" s="8">
        <v>15</v>
      </c>
      <c r="O15" s="8">
        <f t="shared" si="3"/>
        <v>10.65</v>
      </c>
    </row>
    <row r="16" spans="1:15" x14ac:dyDescent="0.2">
      <c r="A16" s="8">
        <f t="shared" si="0"/>
        <v>15</v>
      </c>
      <c r="B16" s="19" t="s">
        <v>6</v>
      </c>
      <c r="C16" s="19" t="s">
        <v>29</v>
      </c>
      <c r="D16" s="8">
        <v>13</v>
      </c>
      <c r="E16" s="8">
        <v>14</v>
      </c>
      <c r="F16" s="8">
        <v>13</v>
      </c>
      <c r="G16" s="12">
        <f t="shared" si="1"/>
        <v>13.5</v>
      </c>
      <c r="H16" s="8">
        <v>11</v>
      </c>
      <c r="I16" s="8">
        <v>15</v>
      </c>
      <c r="J16" s="13">
        <v>14</v>
      </c>
      <c r="K16" s="8">
        <f t="shared" si="2"/>
        <v>13.600000000000001</v>
      </c>
      <c r="L16" s="8">
        <v>14.5</v>
      </c>
      <c r="M16" s="8">
        <v>13.5</v>
      </c>
      <c r="N16" s="8">
        <v>15</v>
      </c>
      <c r="O16" s="8">
        <f t="shared" si="3"/>
        <v>14.1</v>
      </c>
    </row>
    <row r="17" spans="1:15" x14ac:dyDescent="0.2">
      <c r="A17" s="8">
        <f t="shared" si="0"/>
        <v>16</v>
      </c>
      <c r="B17" s="19" t="s">
        <v>109</v>
      </c>
      <c r="C17" s="19" t="s">
        <v>110</v>
      </c>
      <c r="D17" s="8">
        <v>8</v>
      </c>
      <c r="E17" s="8">
        <v>8</v>
      </c>
      <c r="F17" s="8">
        <v>6</v>
      </c>
      <c r="G17" s="12">
        <f t="shared" si="1"/>
        <v>7.6000000000000005</v>
      </c>
      <c r="H17" s="8">
        <v>7</v>
      </c>
      <c r="I17" s="8">
        <v>7</v>
      </c>
      <c r="J17" s="13">
        <v>6</v>
      </c>
      <c r="K17" s="8">
        <f t="shared" si="2"/>
        <v>6.8</v>
      </c>
      <c r="L17" s="8">
        <v>9</v>
      </c>
      <c r="M17" s="8">
        <v>7</v>
      </c>
      <c r="N17" s="8">
        <v>11</v>
      </c>
      <c r="O17" s="8">
        <f t="shared" si="3"/>
        <v>8.3999999999999986</v>
      </c>
    </row>
    <row r="18" spans="1:15" x14ac:dyDescent="0.2">
      <c r="A18" s="8">
        <f t="shared" si="0"/>
        <v>17</v>
      </c>
      <c r="B18" s="19" t="s">
        <v>9</v>
      </c>
      <c r="C18" s="19" t="s">
        <v>111</v>
      </c>
      <c r="D18" s="8">
        <v>6</v>
      </c>
      <c r="E18" s="8">
        <v>14</v>
      </c>
      <c r="F18" s="8">
        <v>8</v>
      </c>
      <c r="G18" s="12">
        <f t="shared" si="1"/>
        <v>10.4</v>
      </c>
      <c r="H18" s="8">
        <v>11</v>
      </c>
      <c r="I18" s="8">
        <v>10</v>
      </c>
      <c r="J18" s="13">
        <v>8</v>
      </c>
      <c r="K18" s="8">
        <f t="shared" si="2"/>
        <v>9.9</v>
      </c>
      <c r="L18" s="8">
        <v>7</v>
      </c>
      <c r="M18" s="8">
        <v>13</v>
      </c>
      <c r="N18" s="8">
        <v>14</v>
      </c>
      <c r="O18" s="8">
        <f t="shared" si="3"/>
        <v>11.4</v>
      </c>
    </row>
    <row r="19" spans="1:15" x14ac:dyDescent="0.2">
      <c r="A19" s="8">
        <f t="shared" si="0"/>
        <v>18</v>
      </c>
      <c r="B19" s="19" t="s">
        <v>3</v>
      </c>
      <c r="C19" s="19" t="s">
        <v>112</v>
      </c>
      <c r="D19" s="8">
        <v>6</v>
      </c>
      <c r="E19" s="8">
        <v>12</v>
      </c>
      <c r="F19" s="8">
        <v>7</v>
      </c>
      <c r="G19" s="12">
        <f t="shared" si="1"/>
        <v>9.1999999999999993</v>
      </c>
      <c r="H19" s="8">
        <v>7</v>
      </c>
      <c r="I19" s="8">
        <v>7</v>
      </c>
      <c r="J19" s="13">
        <v>10</v>
      </c>
      <c r="K19" s="8">
        <f t="shared" si="2"/>
        <v>7.6</v>
      </c>
      <c r="L19" s="8">
        <v>7</v>
      </c>
      <c r="M19" s="8">
        <v>5</v>
      </c>
      <c r="N19" s="8">
        <v>8</v>
      </c>
      <c r="O19" s="8">
        <f t="shared" si="3"/>
        <v>6.1999999999999993</v>
      </c>
    </row>
    <row r="20" spans="1:15" x14ac:dyDescent="0.2">
      <c r="A20" s="8">
        <f t="shared" si="0"/>
        <v>19</v>
      </c>
      <c r="B20" s="19" t="s">
        <v>8</v>
      </c>
      <c r="C20" s="19" t="s">
        <v>113</v>
      </c>
      <c r="D20" s="8">
        <v>6</v>
      </c>
      <c r="E20" s="8">
        <v>12</v>
      </c>
      <c r="F20" s="8">
        <v>14</v>
      </c>
      <c r="G20" s="12">
        <f t="shared" si="1"/>
        <v>10.6</v>
      </c>
      <c r="H20" s="8">
        <v>12</v>
      </c>
      <c r="I20" s="8">
        <v>10</v>
      </c>
      <c r="J20" s="13">
        <v>10</v>
      </c>
      <c r="K20" s="8">
        <f t="shared" si="2"/>
        <v>10.6</v>
      </c>
      <c r="L20" s="8">
        <v>9</v>
      </c>
      <c r="M20" s="8">
        <v>9</v>
      </c>
      <c r="N20" s="8">
        <v>15</v>
      </c>
      <c r="O20" s="8">
        <f t="shared" si="3"/>
        <v>10.199999999999999</v>
      </c>
    </row>
    <row r="21" spans="1:15" x14ac:dyDescent="0.2">
      <c r="A21" s="8">
        <f t="shared" si="0"/>
        <v>20</v>
      </c>
      <c r="B21" s="19" t="s">
        <v>12</v>
      </c>
      <c r="C21" s="19" t="s">
        <v>45</v>
      </c>
      <c r="D21" s="8" t="s">
        <v>155</v>
      </c>
      <c r="E21" s="8" t="s">
        <v>155</v>
      </c>
      <c r="F21" s="8" t="s">
        <v>155</v>
      </c>
      <c r="G21" s="8" t="s">
        <v>155</v>
      </c>
      <c r="H21" s="8">
        <v>8</v>
      </c>
      <c r="I21" s="8">
        <v>10</v>
      </c>
      <c r="J21" s="13">
        <v>7</v>
      </c>
      <c r="K21" s="8">
        <f t="shared" si="2"/>
        <v>8.8000000000000007</v>
      </c>
      <c r="L21" s="8">
        <v>10</v>
      </c>
      <c r="M21" s="8">
        <v>10</v>
      </c>
      <c r="N21" s="8">
        <v>14</v>
      </c>
      <c r="O21" s="8">
        <f t="shared" si="3"/>
        <v>10.8</v>
      </c>
    </row>
    <row r="22" spans="1:15" x14ac:dyDescent="0.2">
      <c r="A22" s="8">
        <f t="shared" si="0"/>
        <v>21</v>
      </c>
      <c r="B22" s="19" t="s">
        <v>7</v>
      </c>
      <c r="C22" s="19" t="s">
        <v>29</v>
      </c>
      <c r="D22" s="8">
        <v>11</v>
      </c>
      <c r="E22" s="8">
        <v>15</v>
      </c>
      <c r="F22" s="8">
        <v>13</v>
      </c>
      <c r="G22" s="12">
        <f t="shared" si="1"/>
        <v>13.4</v>
      </c>
      <c r="H22" s="8">
        <v>14</v>
      </c>
      <c r="I22" s="8">
        <v>9</v>
      </c>
      <c r="J22" s="13">
        <v>10</v>
      </c>
      <c r="K22" s="8">
        <f t="shared" si="2"/>
        <v>10.7</v>
      </c>
      <c r="L22" s="8">
        <v>14</v>
      </c>
      <c r="M22" s="8">
        <v>9</v>
      </c>
      <c r="N22" s="8">
        <v>13.5</v>
      </c>
      <c r="O22" s="8">
        <f t="shared" si="3"/>
        <v>11.399999999999999</v>
      </c>
    </row>
    <row r="23" spans="1:15" x14ac:dyDescent="0.2">
      <c r="A23" s="8">
        <f t="shared" si="0"/>
        <v>22</v>
      </c>
      <c r="B23" s="19" t="s">
        <v>114</v>
      </c>
      <c r="C23" s="19" t="s">
        <v>115</v>
      </c>
      <c r="D23" s="8">
        <v>7</v>
      </c>
      <c r="E23" s="8">
        <v>11</v>
      </c>
      <c r="F23" s="8">
        <v>8</v>
      </c>
      <c r="G23" s="12">
        <f t="shared" si="1"/>
        <v>9.1999999999999993</v>
      </c>
      <c r="H23" s="8">
        <v>5</v>
      </c>
      <c r="I23" s="8">
        <v>8</v>
      </c>
      <c r="J23" s="13">
        <v>12</v>
      </c>
      <c r="K23" s="8">
        <f t="shared" si="2"/>
        <v>7.9</v>
      </c>
      <c r="L23" s="8">
        <v>10</v>
      </c>
      <c r="M23" s="8">
        <v>12</v>
      </c>
      <c r="N23" s="8">
        <v>12.5</v>
      </c>
      <c r="O23" s="8">
        <f t="shared" si="3"/>
        <v>11.5</v>
      </c>
    </row>
    <row r="24" spans="1:15" x14ac:dyDescent="0.2">
      <c r="A24" s="8">
        <f t="shared" si="0"/>
        <v>23</v>
      </c>
      <c r="B24" s="19" t="s">
        <v>116</v>
      </c>
      <c r="C24" s="19" t="s">
        <v>55</v>
      </c>
      <c r="D24" s="8">
        <v>11</v>
      </c>
      <c r="E24" s="8">
        <v>11</v>
      </c>
      <c r="F24" s="8">
        <v>9</v>
      </c>
      <c r="G24" s="12">
        <f t="shared" si="1"/>
        <v>10.600000000000001</v>
      </c>
      <c r="H24" s="8">
        <v>11</v>
      </c>
      <c r="I24" s="8">
        <v>13</v>
      </c>
      <c r="J24" s="13">
        <v>14</v>
      </c>
      <c r="K24" s="8">
        <f t="shared" si="2"/>
        <v>12.600000000000001</v>
      </c>
      <c r="L24" s="8">
        <v>8</v>
      </c>
      <c r="M24" s="8">
        <v>9</v>
      </c>
      <c r="N24" s="8">
        <v>15</v>
      </c>
      <c r="O24" s="8">
        <f t="shared" si="3"/>
        <v>9.9</v>
      </c>
    </row>
    <row r="25" spans="1:15" x14ac:dyDescent="0.2">
      <c r="A25" s="8">
        <f t="shared" si="0"/>
        <v>24</v>
      </c>
      <c r="B25" s="19" t="s">
        <v>117</v>
      </c>
      <c r="C25" s="19" t="s">
        <v>118</v>
      </c>
      <c r="D25" s="8">
        <v>7</v>
      </c>
      <c r="E25" s="8">
        <v>7</v>
      </c>
      <c r="F25" s="8">
        <v>6.5</v>
      </c>
      <c r="G25" s="12">
        <f t="shared" si="1"/>
        <v>6.8999999999999995</v>
      </c>
      <c r="H25" s="8">
        <v>8.5</v>
      </c>
      <c r="I25" s="8">
        <v>10</v>
      </c>
      <c r="J25" s="13">
        <v>9</v>
      </c>
      <c r="K25" s="8">
        <f t="shared" si="2"/>
        <v>9.35</v>
      </c>
      <c r="L25" s="8">
        <v>9</v>
      </c>
      <c r="M25" s="8">
        <v>14</v>
      </c>
      <c r="N25" s="8">
        <v>16</v>
      </c>
      <c r="O25" s="8">
        <f t="shared" si="3"/>
        <v>12.899999999999999</v>
      </c>
    </row>
    <row r="26" spans="1:15" x14ac:dyDescent="0.2">
      <c r="A26" s="8">
        <f t="shared" si="0"/>
        <v>25</v>
      </c>
      <c r="B26" s="19" t="s">
        <v>119</v>
      </c>
      <c r="C26" s="19" t="s">
        <v>120</v>
      </c>
      <c r="D26" s="8">
        <v>9</v>
      </c>
      <c r="E26" s="8">
        <v>15</v>
      </c>
      <c r="F26" s="8">
        <v>16</v>
      </c>
      <c r="G26" s="12">
        <f t="shared" si="1"/>
        <v>13.399999999999999</v>
      </c>
      <c r="H26" s="8">
        <v>10</v>
      </c>
      <c r="I26" s="8">
        <v>5</v>
      </c>
      <c r="J26" s="13">
        <v>9</v>
      </c>
      <c r="K26" s="8">
        <f t="shared" si="2"/>
        <v>7.3</v>
      </c>
      <c r="L26" s="8">
        <v>11</v>
      </c>
      <c r="M26" s="8">
        <v>13</v>
      </c>
      <c r="N26" s="8">
        <v>18</v>
      </c>
      <c r="O26" s="8">
        <f t="shared" si="3"/>
        <v>13.4</v>
      </c>
    </row>
    <row r="27" spans="1:15" x14ac:dyDescent="0.2">
      <c r="A27" s="8">
        <f t="shared" si="0"/>
        <v>26</v>
      </c>
      <c r="B27" s="19" t="s">
        <v>121</v>
      </c>
      <c r="C27" s="19" t="s">
        <v>122</v>
      </c>
      <c r="D27" s="8">
        <v>5</v>
      </c>
      <c r="E27" s="8">
        <v>8</v>
      </c>
      <c r="F27" s="8">
        <v>9</v>
      </c>
      <c r="G27" s="12">
        <f t="shared" si="1"/>
        <v>7.3</v>
      </c>
      <c r="H27" s="8">
        <v>6.5</v>
      </c>
      <c r="I27" s="8">
        <v>7</v>
      </c>
      <c r="J27" s="13">
        <v>7</v>
      </c>
      <c r="K27" s="8">
        <f t="shared" si="2"/>
        <v>6.8500000000000005</v>
      </c>
      <c r="L27" s="8">
        <v>7.5</v>
      </c>
      <c r="M27" s="8">
        <v>7</v>
      </c>
      <c r="N27" s="8">
        <v>15</v>
      </c>
      <c r="O27" s="8">
        <f t="shared" si="3"/>
        <v>8.75</v>
      </c>
    </row>
    <row r="28" spans="1:15" x14ac:dyDescent="0.2">
      <c r="A28" s="8">
        <f t="shared" si="0"/>
        <v>27</v>
      </c>
      <c r="B28" s="19" t="s">
        <v>14</v>
      </c>
      <c r="C28" s="19" t="s">
        <v>123</v>
      </c>
      <c r="D28" s="8">
        <v>9</v>
      </c>
      <c r="E28" s="8">
        <v>13</v>
      </c>
      <c r="F28" s="8">
        <v>16</v>
      </c>
      <c r="G28" s="12">
        <f t="shared" si="1"/>
        <v>12.399999999999999</v>
      </c>
      <c r="H28" s="8">
        <v>9</v>
      </c>
      <c r="I28" s="8">
        <v>9</v>
      </c>
      <c r="J28" s="13">
        <v>14</v>
      </c>
      <c r="K28" s="8">
        <f t="shared" si="2"/>
        <v>10</v>
      </c>
      <c r="L28" s="8">
        <v>10</v>
      </c>
      <c r="M28" s="8">
        <v>10</v>
      </c>
      <c r="N28" s="8">
        <v>13</v>
      </c>
      <c r="O28" s="8">
        <f t="shared" si="3"/>
        <v>10.6</v>
      </c>
    </row>
    <row r="29" spans="1:15" x14ac:dyDescent="0.2">
      <c r="A29" s="8">
        <f t="shared" si="0"/>
        <v>28</v>
      </c>
      <c r="B29" s="19" t="s">
        <v>124</v>
      </c>
      <c r="C29" s="19" t="s">
        <v>125</v>
      </c>
      <c r="D29" s="8">
        <v>7</v>
      </c>
      <c r="E29" s="8">
        <v>7</v>
      </c>
      <c r="F29" s="8">
        <v>8</v>
      </c>
      <c r="G29" s="12">
        <f t="shared" si="1"/>
        <v>7.1999999999999993</v>
      </c>
      <c r="H29" s="8">
        <v>8</v>
      </c>
      <c r="I29" s="8">
        <v>8</v>
      </c>
      <c r="J29" s="13">
        <v>8</v>
      </c>
      <c r="K29" s="8">
        <f t="shared" si="2"/>
        <v>8</v>
      </c>
      <c r="L29" s="8">
        <v>9</v>
      </c>
      <c r="M29" s="8">
        <v>6</v>
      </c>
      <c r="N29" s="8">
        <v>6</v>
      </c>
      <c r="O29" s="8">
        <f t="shared" si="3"/>
        <v>6.8999999999999995</v>
      </c>
    </row>
    <row r="30" spans="1:15" x14ac:dyDescent="0.2">
      <c r="A30" s="8">
        <f t="shared" si="0"/>
        <v>29</v>
      </c>
      <c r="B30" s="19" t="s">
        <v>124</v>
      </c>
      <c r="C30" s="19" t="s">
        <v>126</v>
      </c>
      <c r="D30" s="8">
        <v>6</v>
      </c>
      <c r="E30" s="8">
        <v>7</v>
      </c>
      <c r="F30" s="8">
        <v>6</v>
      </c>
      <c r="G30" s="12">
        <f t="shared" si="1"/>
        <v>6.5</v>
      </c>
      <c r="H30" s="8">
        <v>6</v>
      </c>
      <c r="I30" s="8">
        <v>6.5</v>
      </c>
      <c r="J30" s="13">
        <v>4</v>
      </c>
      <c r="K30" s="8">
        <f t="shared" si="2"/>
        <v>5.85</v>
      </c>
      <c r="L30" s="8">
        <v>9</v>
      </c>
      <c r="M30" s="8">
        <v>7</v>
      </c>
      <c r="N30" s="8">
        <v>10</v>
      </c>
      <c r="O30" s="8">
        <f t="shared" si="3"/>
        <v>8.1999999999999993</v>
      </c>
    </row>
    <row r="31" spans="1:15" x14ac:dyDescent="0.2">
      <c r="A31" s="8">
        <f t="shared" si="0"/>
        <v>30</v>
      </c>
      <c r="B31" s="19" t="s">
        <v>4</v>
      </c>
      <c r="C31" s="19" t="s">
        <v>127</v>
      </c>
      <c r="D31" s="8">
        <v>7</v>
      </c>
      <c r="E31" s="8">
        <v>7</v>
      </c>
      <c r="F31" s="8">
        <v>5</v>
      </c>
      <c r="G31" s="12">
        <f t="shared" si="1"/>
        <v>6.6</v>
      </c>
      <c r="H31" s="8">
        <v>8</v>
      </c>
      <c r="I31" s="8">
        <v>7</v>
      </c>
      <c r="J31" s="13">
        <v>6</v>
      </c>
      <c r="K31" s="8">
        <f t="shared" si="2"/>
        <v>7.1000000000000005</v>
      </c>
      <c r="L31" s="8" t="s">
        <v>156</v>
      </c>
      <c r="M31" s="8" t="s">
        <v>156</v>
      </c>
      <c r="N31" s="8" t="s">
        <v>156</v>
      </c>
      <c r="O31" s="8" t="s">
        <v>156</v>
      </c>
    </row>
    <row r="32" spans="1:15" x14ac:dyDescent="0.2">
      <c r="A32" s="8">
        <f t="shared" si="0"/>
        <v>31</v>
      </c>
      <c r="B32" s="19" t="s">
        <v>10</v>
      </c>
      <c r="C32" s="19" t="s">
        <v>128</v>
      </c>
      <c r="D32" s="8">
        <v>9</v>
      </c>
      <c r="E32" s="8">
        <v>12</v>
      </c>
      <c r="F32" s="8">
        <v>13</v>
      </c>
      <c r="G32" s="12">
        <f t="shared" si="1"/>
        <v>11.299999999999999</v>
      </c>
      <c r="H32" s="8">
        <v>7</v>
      </c>
      <c r="I32" s="8">
        <v>10</v>
      </c>
      <c r="J32" s="13">
        <v>7</v>
      </c>
      <c r="K32" s="8">
        <f t="shared" si="2"/>
        <v>8.5</v>
      </c>
      <c r="L32" s="8">
        <v>10</v>
      </c>
      <c r="M32" s="8">
        <v>7</v>
      </c>
      <c r="N32" s="8">
        <v>14</v>
      </c>
      <c r="O32" s="8">
        <f t="shared" si="3"/>
        <v>9.3000000000000007</v>
      </c>
    </row>
    <row r="33" spans="1:15" x14ac:dyDescent="0.2">
      <c r="A33" s="8">
        <f t="shared" si="0"/>
        <v>32</v>
      </c>
      <c r="B33" s="19" t="s">
        <v>129</v>
      </c>
      <c r="C33" s="19" t="s">
        <v>130</v>
      </c>
      <c r="D33" s="8">
        <v>13</v>
      </c>
      <c r="E33" s="8">
        <v>13</v>
      </c>
      <c r="F33" s="8">
        <v>13</v>
      </c>
      <c r="G33" s="12">
        <f t="shared" si="1"/>
        <v>13</v>
      </c>
      <c r="H33" s="8">
        <v>12</v>
      </c>
      <c r="I33" s="8">
        <v>9</v>
      </c>
      <c r="J33" s="13">
        <v>9</v>
      </c>
      <c r="K33" s="8">
        <f t="shared" si="2"/>
        <v>9.9</v>
      </c>
      <c r="L33" s="8">
        <v>13.5</v>
      </c>
      <c r="M33" s="8">
        <v>14</v>
      </c>
      <c r="N33" s="8">
        <v>13.5</v>
      </c>
      <c r="O33" s="8">
        <f t="shared" si="3"/>
        <v>13.75</v>
      </c>
    </row>
    <row r="34" spans="1:15" x14ac:dyDescent="0.2">
      <c r="A34" s="8">
        <f t="shared" si="0"/>
        <v>33</v>
      </c>
      <c r="B34" s="19" t="s">
        <v>1</v>
      </c>
      <c r="C34" s="19" t="s">
        <v>131</v>
      </c>
      <c r="D34" s="8">
        <v>7</v>
      </c>
      <c r="E34" s="8">
        <v>11</v>
      </c>
      <c r="F34" s="8">
        <v>12</v>
      </c>
      <c r="G34" s="12">
        <f t="shared" si="1"/>
        <v>10</v>
      </c>
      <c r="H34" s="8">
        <v>8.5</v>
      </c>
      <c r="I34" s="8">
        <v>13</v>
      </c>
      <c r="J34" s="13">
        <v>7.5</v>
      </c>
      <c r="K34" s="8">
        <f t="shared" si="2"/>
        <v>10.55</v>
      </c>
      <c r="L34" s="8">
        <v>13.5</v>
      </c>
      <c r="M34" s="8">
        <v>10</v>
      </c>
      <c r="N34" s="8">
        <v>14</v>
      </c>
      <c r="O34" s="8">
        <f t="shared" si="3"/>
        <v>11.850000000000001</v>
      </c>
    </row>
    <row r="35" spans="1:15" x14ac:dyDescent="0.2">
      <c r="A35" s="8">
        <f t="shared" si="0"/>
        <v>34</v>
      </c>
      <c r="B35" s="19" t="s">
        <v>0</v>
      </c>
      <c r="C35" s="19" t="s">
        <v>132</v>
      </c>
      <c r="D35" s="8">
        <v>5</v>
      </c>
      <c r="E35" s="8">
        <v>5</v>
      </c>
      <c r="F35" s="8">
        <v>4</v>
      </c>
      <c r="G35" s="12">
        <f t="shared" si="1"/>
        <v>4.8</v>
      </c>
      <c r="H35" s="8">
        <v>5</v>
      </c>
      <c r="I35" s="8">
        <v>5</v>
      </c>
      <c r="J35" s="13">
        <v>4</v>
      </c>
      <c r="K35" s="8">
        <f t="shared" si="2"/>
        <v>4.8</v>
      </c>
      <c r="L35" s="20">
        <v>8.5</v>
      </c>
      <c r="M35" s="20">
        <v>7</v>
      </c>
      <c r="N35" s="20">
        <v>7</v>
      </c>
      <c r="O35" s="8">
        <f t="shared" si="3"/>
        <v>7.45</v>
      </c>
    </row>
    <row r="36" spans="1:15" x14ac:dyDescent="0.2">
      <c r="A36" s="8">
        <f t="shared" si="0"/>
        <v>35</v>
      </c>
      <c r="B36" s="19" t="s">
        <v>133</v>
      </c>
      <c r="C36" s="19" t="s">
        <v>134</v>
      </c>
      <c r="D36" s="8"/>
      <c r="E36" s="8"/>
      <c r="F36" s="8"/>
      <c r="G36" s="12">
        <f t="shared" si="1"/>
        <v>0</v>
      </c>
      <c r="H36" s="8">
        <v>7</v>
      </c>
      <c r="I36" s="8">
        <v>9</v>
      </c>
      <c r="J36" s="13">
        <v>6.5</v>
      </c>
      <c r="K36" s="8">
        <f t="shared" si="2"/>
        <v>7.8999999999999995</v>
      </c>
      <c r="L36" s="8">
        <v>8.5</v>
      </c>
      <c r="M36" s="8">
        <v>8.5</v>
      </c>
      <c r="N36" s="8">
        <v>14</v>
      </c>
      <c r="O36" s="8">
        <f t="shared" si="3"/>
        <v>9.6</v>
      </c>
    </row>
    <row r="37" spans="1:15" x14ac:dyDescent="0.2">
      <c r="A37" s="8">
        <f t="shared" si="0"/>
        <v>36</v>
      </c>
      <c r="B37" s="19" t="s">
        <v>2</v>
      </c>
      <c r="C37" s="19" t="s">
        <v>135</v>
      </c>
      <c r="D37" s="8">
        <v>5</v>
      </c>
      <c r="E37" s="8">
        <v>6</v>
      </c>
      <c r="F37" s="8">
        <v>5</v>
      </c>
      <c r="G37" s="12">
        <f t="shared" si="1"/>
        <v>5.5</v>
      </c>
      <c r="H37" s="8">
        <v>6</v>
      </c>
      <c r="I37" s="8">
        <v>8</v>
      </c>
      <c r="J37" s="13">
        <v>6</v>
      </c>
      <c r="K37" s="8">
        <f t="shared" si="2"/>
        <v>7</v>
      </c>
      <c r="L37" s="8">
        <v>8.5</v>
      </c>
      <c r="M37" s="8">
        <v>9</v>
      </c>
      <c r="N37" s="8">
        <v>11</v>
      </c>
      <c r="O37" s="8">
        <f t="shared" si="3"/>
        <v>9.25</v>
      </c>
    </row>
    <row r="38" spans="1:15" x14ac:dyDescent="0.2">
      <c r="B38" s="24" t="s">
        <v>151</v>
      </c>
      <c r="D38" s="22">
        <f>AVERAGE(D2:D37)</f>
        <v>8</v>
      </c>
      <c r="E38" s="22">
        <f>AVERAGE(E2:E37)</f>
        <v>10.029411764705882</v>
      </c>
      <c r="F38" s="23">
        <f t="shared" ref="F38:K38" si="4">AVERAGE(F2:F37)</f>
        <v>9.0441176470588243</v>
      </c>
      <c r="G38" s="21">
        <f t="shared" si="4"/>
        <v>8.9600000000000009</v>
      </c>
      <c r="H38" s="22">
        <f t="shared" si="4"/>
        <v>8.875</v>
      </c>
      <c r="I38" s="22">
        <f t="shared" si="4"/>
        <v>9.125</v>
      </c>
      <c r="J38" s="22">
        <f t="shared" si="4"/>
        <v>8.6805555555555554</v>
      </c>
      <c r="K38" s="21">
        <f t="shared" si="4"/>
        <v>8.9611111111111121</v>
      </c>
      <c r="L38" s="15">
        <f>AVERAGE(L2:L37)</f>
        <v>9.8088235294117645</v>
      </c>
      <c r="M38" s="15">
        <f>AVERAGE(M2:M37)</f>
        <v>9.6617647058823533</v>
      </c>
      <c r="N38" s="15">
        <f>AVERAGE(N2:N37)</f>
        <v>12.529411764705882</v>
      </c>
      <c r="O38" s="15">
        <f>AVERAGE(O2:O37)</f>
        <v>10.279411764705884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6B8B-7728-A14B-B640-00B9705092A1}">
  <dimension ref="A1:H40"/>
  <sheetViews>
    <sheetView workbookViewId="0">
      <selection activeCell="F24" sqref="F24"/>
    </sheetView>
  </sheetViews>
  <sheetFormatPr baseColWidth="10" defaultRowHeight="16" x14ac:dyDescent="0.2"/>
  <cols>
    <col min="1" max="1" width="10.83203125" style="3"/>
    <col min="2" max="2" width="17.5" style="3" customWidth="1"/>
    <col min="3" max="16384" width="10.83203125" style="3"/>
  </cols>
  <sheetData>
    <row r="1" spans="1:8" x14ac:dyDescent="0.2">
      <c r="A1" s="3" t="s">
        <v>140</v>
      </c>
    </row>
    <row r="4" spans="1:8" x14ac:dyDescent="0.2">
      <c r="A4" s="4">
        <v>1</v>
      </c>
      <c r="B4" s="2" t="s">
        <v>5</v>
      </c>
      <c r="C4" s="2" t="s">
        <v>87</v>
      </c>
      <c r="D4" s="1" t="s">
        <v>142</v>
      </c>
      <c r="E4" s="1"/>
      <c r="F4" s="1"/>
      <c r="G4" s="1"/>
      <c r="H4" s="1"/>
    </row>
    <row r="5" spans="1:8" x14ac:dyDescent="0.2">
      <c r="A5" s="5">
        <v>2</v>
      </c>
      <c r="B5" s="2" t="s">
        <v>88</v>
      </c>
      <c r="C5" s="2" t="s">
        <v>89</v>
      </c>
      <c r="D5" s="1"/>
      <c r="E5" s="1"/>
      <c r="F5" s="1"/>
      <c r="G5" s="1"/>
      <c r="H5" s="1"/>
    </row>
    <row r="6" spans="1:8" x14ac:dyDescent="0.2">
      <c r="A6" s="5">
        <v>3</v>
      </c>
      <c r="B6" s="7" t="s">
        <v>90</v>
      </c>
      <c r="C6" s="7" t="s">
        <v>91</v>
      </c>
      <c r="D6" s="1"/>
      <c r="E6" s="1"/>
      <c r="F6" s="1"/>
      <c r="G6" s="1"/>
      <c r="H6" s="1"/>
    </row>
    <row r="7" spans="1:8" x14ac:dyDescent="0.2">
      <c r="A7" s="5">
        <v>4</v>
      </c>
      <c r="B7" s="2" t="s">
        <v>15</v>
      </c>
      <c r="C7" s="2" t="s">
        <v>92</v>
      </c>
      <c r="D7" s="1"/>
      <c r="E7" s="1"/>
      <c r="F7" s="1"/>
      <c r="G7" s="1"/>
      <c r="H7" s="1"/>
    </row>
    <row r="8" spans="1:8" x14ac:dyDescent="0.2">
      <c r="A8" s="5">
        <v>5</v>
      </c>
      <c r="B8" s="7" t="s">
        <v>93</v>
      </c>
      <c r="C8" s="7" t="s">
        <v>94</v>
      </c>
      <c r="D8" s="1"/>
      <c r="E8" s="1"/>
      <c r="F8" s="1"/>
      <c r="G8" s="1"/>
      <c r="H8" s="1"/>
    </row>
    <row r="9" spans="1:8" x14ac:dyDescent="0.2">
      <c r="A9" s="5">
        <v>6</v>
      </c>
      <c r="B9" s="2" t="s">
        <v>95</v>
      </c>
      <c r="C9" s="2" t="s">
        <v>96</v>
      </c>
      <c r="D9" s="1" t="s">
        <v>141</v>
      </c>
      <c r="E9" s="1"/>
      <c r="F9" s="1"/>
      <c r="G9" s="1"/>
      <c r="H9" s="1"/>
    </row>
    <row r="10" spans="1:8" x14ac:dyDescent="0.2">
      <c r="A10" s="5">
        <v>7</v>
      </c>
      <c r="B10" s="2" t="s">
        <v>97</v>
      </c>
      <c r="C10" s="2" t="s">
        <v>98</v>
      </c>
      <c r="D10" s="1"/>
      <c r="E10" s="1"/>
      <c r="F10" s="1"/>
      <c r="G10" s="1"/>
      <c r="H10" s="1"/>
    </row>
    <row r="11" spans="1:8" x14ac:dyDescent="0.2">
      <c r="A11" s="5">
        <v>8</v>
      </c>
      <c r="B11" s="2" t="s">
        <v>99</v>
      </c>
      <c r="C11" s="2" t="s">
        <v>100</v>
      </c>
      <c r="D11" s="1"/>
      <c r="E11" s="1"/>
      <c r="F11" s="1"/>
      <c r="G11" s="1"/>
      <c r="H11" s="1"/>
    </row>
    <row r="12" spans="1:8" x14ac:dyDescent="0.2">
      <c r="A12" s="5">
        <v>9</v>
      </c>
      <c r="B12" s="2" t="s">
        <v>101</v>
      </c>
      <c r="C12" s="2" t="s">
        <v>102</v>
      </c>
      <c r="D12" s="1"/>
      <c r="E12" s="1"/>
      <c r="F12" s="1"/>
      <c r="G12" s="1"/>
      <c r="H12" s="1"/>
    </row>
    <row r="13" spans="1:8" x14ac:dyDescent="0.2">
      <c r="A13" s="5">
        <v>10</v>
      </c>
      <c r="B13" s="2" t="s">
        <v>103</v>
      </c>
      <c r="C13" s="2" t="s">
        <v>41</v>
      </c>
      <c r="D13" s="1"/>
      <c r="E13" s="1"/>
      <c r="F13" s="1"/>
      <c r="G13" s="1"/>
      <c r="H13" s="1"/>
    </row>
    <row r="14" spans="1:8" x14ac:dyDescent="0.2">
      <c r="A14" s="5">
        <v>11</v>
      </c>
      <c r="B14" s="2" t="s">
        <v>13</v>
      </c>
      <c r="C14" s="2" t="s">
        <v>104</v>
      </c>
      <c r="D14" s="1"/>
      <c r="E14" s="1"/>
      <c r="F14" s="1"/>
      <c r="G14" s="1"/>
      <c r="H14" s="1"/>
    </row>
    <row r="15" spans="1:8" x14ac:dyDescent="0.2">
      <c r="A15" s="5">
        <v>12</v>
      </c>
      <c r="B15" s="2" t="s">
        <v>105</v>
      </c>
      <c r="C15" s="2" t="s">
        <v>106</v>
      </c>
      <c r="D15" s="1"/>
      <c r="E15" s="1"/>
      <c r="F15" s="1"/>
      <c r="G15" s="1"/>
      <c r="H15" s="1"/>
    </row>
    <row r="16" spans="1:8" x14ac:dyDescent="0.2">
      <c r="A16" s="5">
        <v>13</v>
      </c>
      <c r="B16" s="2" t="s">
        <v>11</v>
      </c>
      <c r="C16" s="2" t="s">
        <v>41</v>
      </c>
      <c r="D16" s="1" t="s">
        <v>141</v>
      </c>
      <c r="E16" s="1"/>
      <c r="F16" s="1"/>
      <c r="G16" s="1"/>
      <c r="H16" s="1"/>
    </row>
    <row r="17" spans="1:8" x14ac:dyDescent="0.2">
      <c r="A17" s="5">
        <v>14</v>
      </c>
      <c r="B17" s="2" t="s">
        <v>107</v>
      </c>
      <c r="C17" s="2" t="s">
        <v>108</v>
      </c>
      <c r="D17" s="1"/>
      <c r="E17" s="1"/>
      <c r="F17" s="1"/>
      <c r="G17" s="1"/>
      <c r="H17" s="1"/>
    </row>
    <row r="18" spans="1:8" x14ac:dyDescent="0.2">
      <c r="A18" s="5">
        <v>15</v>
      </c>
      <c r="B18" s="2" t="s">
        <v>6</v>
      </c>
      <c r="C18" s="2" t="s">
        <v>29</v>
      </c>
      <c r="D18" s="1"/>
      <c r="E18" s="1"/>
      <c r="F18" s="1"/>
      <c r="G18" s="1"/>
      <c r="H18" s="1"/>
    </row>
    <row r="19" spans="1:8" x14ac:dyDescent="0.2">
      <c r="A19" s="6">
        <v>16</v>
      </c>
      <c r="B19" s="7" t="s">
        <v>109</v>
      </c>
      <c r="C19" s="7" t="s">
        <v>110</v>
      </c>
      <c r="D19" s="1" t="s">
        <v>141</v>
      </c>
      <c r="E19" s="1"/>
      <c r="F19" s="1"/>
      <c r="G19" s="1"/>
      <c r="H19" s="1"/>
    </row>
    <row r="20" spans="1:8" x14ac:dyDescent="0.2">
      <c r="A20" s="5"/>
      <c r="B20" s="2" t="s">
        <v>54</v>
      </c>
      <c r="C20" s="2" t="s">
        <v>139</v>
      </c>
      <c r="D20" s="1"/>
      <c r="E20" s="1"/>
      <c r="F20" s="1"/>
      <c r="G20" s="1"/>
      <c r="H20" s="1"/>
    </row>
    <row r="21" spans="1:8" x14ac:dyDescent="0.2">
      <c r="A21" s="5">
        <v>18</v>
      </c>
      <c r="B21" s="2" t="s">
        <v>9</v>
      </c>
      <c r="C21" s="2" t="s">
        <v>111</v>
      </c>
      <c r="D21" s="1" t="s">
        <v>141</v>
      </c>
      <c r="E21" s="1"/>
      <c r="F21" s="1"/>
      <c r="G21" s="1"/>
      <c r="H21" s="1"/>
    </row>
    <row r="22" spans="1:8" x14ac:dyDescent="0.2">
      <c r="A22" s="5">
        <v>19</v>
      </c>
      <c r="B22" s="2" t="s">
        <v>3</v>
      </c>
      <c r="C22" s="2" t="s">
        <v>112</v>
      </c>
      <c r="D22" s="1"/>
      <c r="E22" s="1"/>
      <c r="F22" s="1"/>
      <c r="G22" s="1"/>
      <c r="H22" s="1"/>
    </row>
    <row r="23" spans="1:8" x14ac:dyDescent="0.2">
      <c r="A23" s="5">
        <v>20</v>
      </c>
      <c r="B23" s="2" t="s">
        <v>8</v>
      </c>
      <c r="C23" s="2" t="s">
        <v>113</v>
      </c>
      <c r="D23" s="1" t="s">
        <v>141</v>
      </c>
      <c r="E23" s="1"/>
      <c r="F23" s="1"/>
      <c r="G23" s="1"/>
      <c r="H23" s="1"/>
    </row>
    <row r="24" spans="1:8" x14ac:dyDescent="0.2">
      <c r="A24" s="5">
        <v>21</v>
      </c>
      <c r="B24" s="7" t="s">
        <v>12</v>
      </c>
      <c r="C24" s="7" t="s">
        <v>45</v>
      </c>
      <c r="D24" s="1"/>
      <c r="E24" s="1"/>
      <c r="F24" s="1"/>
      <c r="G24" s="1"/>
      <c r="H24" s="1"/>
    </row>
    <row r="25" spans="1:8" x14ac:dyDescent="0.2">
      <c r="A25" s="5">
        <v>22</v>
      </c>
      <c r="B25" s="2" t="s">
        <v>7</v>
      </c>
      <c r="C25" s="2" t="s">
        <v>29</v>
      </c>
      <c r="D25" s="1"/>
      <c r="E25" s="1"/>
      <c r="F25" s="1"/>
      <c r="G25" s="1"/>
      <c r="H25" s="1"/>
    </row>
    <row r="26" spans="1:8" x14ac:dyDescent="0.2">
      <c r="A26" s="5">
        <v>23</v>
      </c>
      <c r="B26" s="7" t="s">
        <v>114</v>
      </c>
      <c r="C26" s="7" t="s">
        <v>115</v>
      </c>
      <c r="D26" s="1"/>
      <c r="E26" s="1"/>
      <c r="F26" s="1"/>
      <c r="G26" s="1"/>
      <c r="H26" s="1"/>
    </row>
    <row r="27" spans="1:8" x14ac:dyDescent="0.2">
      <c r="A27" s="5">
        <v>24</v>
      </c>
      <c r="B27" s="2" t="s">
        <v>116</v>
      </c>
      <c r="C27" s="2" t="s">
        <v>55</v>
      </c>
      <c r="D27" s="1"/>
      <c r="E27" s="1"/>
      <c r="F27" s="1"/>
      <c r="G27" s="1"/>
      <c r="H27" s="1"/>
    </row>
    <row r="28" spans="1:8" x14ac:dyDescent="0.2">
      <c r="A28" s="5">
        <v>25</v>
      </c>
      <c r="B28" s="2" t="s">
        <v>117</v>
      </c>
      <c r="C28" s="2" t="s">
        <v>118</v>
      </c>
      <c r="D28" s="1"/>
      <c r="E28" s="1"/>
      <c r="F28" s="1"/>
      <c r="G28" s="1"/>
      <c r="H28" s="1"/>
    </row>
    <row r="29" spans="1:8" x14ac:dyDescent="0.2">
      <c r="A29" s="5">
        <v>26</v>
      </c>
      <c r="B29" s="2" t="s">
        <v>119</v>
      </c>
      <c r="C29" s="2" t="s">
        <v>120</v>
      </c>
      <c r="D29" s="1"/>
      <c r="E29" s="1"/>
      <c r="F29" s="1"/>
      <c r="G29" s="1"/>
      <c r="H29" s="1"/>
    </row>
    <row r="30" spans="1:8" x14ac:dyDescent="0.2">
      <c r="A30" s="5">
        <v>27</v>
      </c>
      <c r="B30" s="2" t="s">
        <v>121</v>
      </c>
      <c r="C30" s="2" t="s">
        <v>122</v>
      </c>
      <c r="D30" s="1"/>
      <c r="E30" s="1"/>
      <c r="F30" s="1"/>
      <c r="G30" s="1"/>
      <c r="H30" s="1"/>
    </row>
    <row r="31" spans="1:8" x14ac:dyDescent="0.2">
      <c r="A31" s="5">
        <v>28</v>
      </c>
      <c r="B31" s="2" t="s">
        <v>14</v>
      </c>
      <c r="C31" s="2" t="s">
        <v>123</v>
      </c>
      <c r="D31" s="1"/>
      <c r="E31" s="1"/>
      <c r="F31" s="1"/>
      <c r="G31" s="1"/>
      <c r="H31" s="1"/>
    </row>
    <row r="32" spans="1:8" x14ac:dyDescent="0.2">
      <c r="A32" s="5">
        <v>29</v>
      </c>
      <c r="B32" s="7" t="s">
        <v>124</v>
      </c>
      <c r="C32" s="7" t="s">
        <v>125</v>
      </c>
      <c r="D32" s="1"/>
      <c r="E32" s="1"/>
      <c r="F32" s="1"/>
      <c r="G32" s="1"/>
      <c r="H32" s="1"/>
    </row>
    <row r="33" spans="1:8" x14ac:dyDescent="0.2">
      <c r="A33" s="5">
        <v>30</v>
      </c>
      <c r="B33" s="7" t="s">
        <v>124</v>
      </c>
      <c r="C33" s="7" t="s">
        <v>126</v>
      </c>
      <c r="D33" s="1"/>
      <c r="E33" s="1"/>
      <c r="F33" s="1"/>
      <c r="G33" s="1"/>
      <c r="H33" s="1"/>
    </row>
    <row r="34" spans="1:8" x14ac:dyDescent="0.2">
      <c r="A34" s="5">
        <v>31</v>
      </c>
      <c r="B34" s="2" t="s">
        <v>4</v>
      </c>
      <c r="C34" s="2" t="s">
        <v>127</v>
      </c>
      <c r="D34" s="1"/>
      <c r="E34" s="1"/>
      <c r="F34" s="1"/>
      <c r="G34" s="1"/>
      <c r="H34" s="1"/>
    </row>
    <row r="35" spans="1:8" x14ac:dyDescent="0.2">
      <c r="A35" s="5">
        <v>32</v>
      </c>
      <c r="B35" s="2" t="s">
        <v>10</v>
      </c>
      <c r="C35" s="2" t="s">
        <v>128</v>
      </c>
      <c r="D35" s="1"/>
      <c r="E35" s="1"/>
      <c r="F35" s="1"/>
      <c r="G35" s="1"/>
      <c r="H35" s="1"/>
    </row>
    <row r="36" spans="1:8" x14ac:dyDescent="0.2">
      <c r="A36" s="5">
        <v>33</v>
      </c>
      <c r="B36" s="2" t="s">
        <v>129</v>
      </c>
      <c r="C36" s="2" t="s">
        <v>130</v>
      </c>
      <c r="D36" s="1" t="s">
        <v>141</v>
      </c>
      <c r="E36" s="1"/>
      <c r="F36" s="1"/>
      <c r="G36" s="1"/>
      <c r="H36" s="1"/>
    </row>
    <row r="37" spans="1:8" x14ac:dyDescent="0.2">
      <c r="A37" s="5">
        <v>34</v>
      </c>
      <c r="B37" s="2" t="s">
        <v>1</v>
      </c>
      <c r="C37" s="2" t="s">
        <v>131</v>
      </c>
      <c r="D37" s="1"/>
      <c r="E37" s="1"/>
      <c r="F37" s="1"/>
      <c r="G37" s="1"/>
      <c r="H37" s="1"/>
    </row>
    <row r="38" spans="1:8" x14ac:dyDescent="0.2">
      <c r="A38" s="5">
        <v>35</v>
      </c>
      <c r="B38" s="2" t="s">
        <v>0</v>
      </c>
      <c r="C38" s="2" t="s">
        <v>132</v>
      </c>
      <c r="D38" s="1"/>
      <c r="E38" s="1"/>
      <c r="F38" s="1"/>
      <c r="G38" s="1"/>
      <c r="H38" s="1"/>
    </row>
    <row r="39" spans="1:8" x14ac:dyDescent="0.2">
      <c r="A39" s="5">
        <v>36</v>
      </c>
      <c r="B39" s="7" t="s">
        <v>133</v>
      </c>
      <c r="C39" s="7" t="s">
        <v>134</v>
      </c>
      <c r="D39" s="1"/>
      <c r="E39" s="1"/>
      <c r="F39" s="1"/>
      <c r="G39" s="1"/>
      <c r="H39" s="1"/>
    </row>
    <row r="40" spans="1:8" x14ac:dyDescent="0.2">
      <c r="A40" s="5">
        <v>37</v>
      </c>
      <c r="B40" s="2" t="s">
        <v>2</v>
      </c>
      <c r="C40" s="2" t="s">
        <v>135</v>
      </c>
      <c r="D40" s="1"/>
      <c r="E40" s="1"/>
      <c r="F40" s="1"/>
      <c r="G40" s="1"/>
      <c r="H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ECG2</vt:lpstr>
      <vt:lpstr>KE4</vt:lpstr>
      <vt:lpstr>Oraux 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Davis</dc:creator>
  <cp:lastModifiedBy>Harley Davis</cp:lastModifiedBy>
  <dcterms:created xsi:type="dcterms:W3CDTF">2025-09-03T08:42:56Z</dcterms:created>
  <dcterms:modified xsi:type="dcterms:W3CDTF">2025-12-19T15:46:49Z</dcterms:modified>
</cp:coreProperties>
</file>